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de956ca152c174/Documents/"/>
    </mc:Choice>
  </mc:AlternateContent>
  <xr:revisionPtr revIDLastSave="6" documentId="8_{9EA04C03-C66A-4357-9027-C5A57B23B3C0}" xr6:coauthVersionLast="47" xr6:coauthVersionMax="47" xr10:uidLastSave="{0F63C388-7505-4007-B3D0-F9ABB134AD46}"/>
  <bookViews>
    <workbookView xWindow="-108" yWindow="-108" windowWidth="23256" windowHeight="12456" firstSheet="20" activeTab="22" xr2:uid="{00000000-000D-0000-FFFF-FFFF00000000}"/>
  </bookViews>
  <sheets>
    <sheet name="00_Assumptions" sheetId="1" r:id="rId1"/>
    <sheet name="01_Historical_IS" sheetId="2" r:id="rId2"/>
    <sheet name="02_Historical_BS" sheetId="3" r:id="rId3"/>
    <sheet name="03_Historical_CF" sheetId="4" r:id="rId4"/>
    <sheet name="04a_Projection_IS" sheetId="5" r:id="rId5"/>
    <sheet name="04b_Projection_BS" sheetId="6" r:id="rId6"/>
    <sheet name="04c_Projection_CF" sheetId="7" r:id="rId7"/>
    <sheet name="05a_FCFF" sheetId="8" r:id="rId8"/>
    <sheet name="05b_DCF" sheetId="9" r:id="rId9"/>
    <sheet name="06_Sensitivity" sheetId="10" r:id="rId10"/>
    <sheet name="07_Adjustments" sheetId="11" r:id="rId11"/>
    <sheet name="07_CommonSize" sheetId="12" r:id="rId12"/>
    <sheet name="08_RatioAnalysis" sheetId="13" r:id="rId13"/>
    <sheet name="09_WorkingCapital" sheetId="14" r:id="rId14"/>
    <sheet name="10_GrowthRates" sheetId="15" r:id="rId15"/>
    <sheet name="11_DA" sheetId="16" r:id="rId16"/>
    <sheet name="12_FixedAssets" sheetId="17" r:id="rId17"/>
    <sheet name="13_DebtSchedule" sheetId="18" r:id="rId18"/>
    <sheet name="14_Beta" sheetId="19" r:id="rId19"/>
    <sheet name="15_WACC" sheetId="20" r:id="rId20"/>
    <sheet name="16_MarketData" sheetId="21" r:id="rId21"/>
    <sheet name="17_ComparableAnalysis" sheetId="22" r:id="rId22"/>
    <sheet name="98_Notes" sheetId="23" r:id="rId23"/>
    <sheet name="99_Validation" sheetId="24" r:id="rId24"/>
  </sheets>
  <definedNames>
    <definedName name="adjusted_beta">'15_WACC'!$F$11</definedName>
    <definedName name="Capex_pct">'00_Assumptions'!$C$42</definedName>
    <definedName name="effective_tax_rate">'15_WACC'!$F$17</definedName>
    <definedName name="equity_risk_premium">'15_WACC'!$F$12</definedName>
    <definedName name="risk_free_rate">'15_WACC'!$F$10</definedName>
    <definedName name="Tax_Rate">'00_Assumptions'!$B$11</definedName>
    <definedName name="Terminal_Growth">'00_Assumptions'!$B$19</definedName>
    <definedName name="wacc_output">'15_WACC'!$F$19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24" l="1"/>
  <c r="B34" i="24"/>
  <c r="B27" i="24"/>
  <c r="D21" i="24"/>
  <c r="C21" i="24"/>
  <c r="B21" i="24"/>
  <c r="D16" i="24"/>
  <c r="C16" i="24"/>
  <c r="B16" i="24"/>
  <c r="D14" i="24"/>
  <c r="C14" i="24"/>
  <c r="B14" i="24"/>
  <c r="D13" i="24"/>
  <c r="C13" i="24"/>
  <c r="B13" i="24"/>
  <c r="D12" i="24"/>
  <c r="D15" i="24" s="1"/>
  <c r="D17" i="24" s="1"/>
  <c r="C12" i="24"/>
  <c r="C15" i="24" s="1"/>
  <c r="C17" i="24" s="1"/>
  <c r="B12" i="24"/>
  <c r="B15" i="24" s="1"/>
  <c r="B17" i="24" s="1"/>
  <c r="F7" i="24"/>
  <c r="E7" i="24"/>
  <c r="D7" i="24"/>
  <c r="C7" i="24"/>
  <c r="B7" i="24"/>
  <c r="F6" i="24"/>
  <c r="F8" i="24" s="1"/>
  <c r="E6" i="24"/>
  <c r="E8" i="24" s="1"/>
  <c r="D6" i="24"/>
  <c r="D8" i="24" s="1"/>
  <c r="C6" i="24"/>
  <c r="C8" i="24" s="1"/>
  <c r="B6" i="24"/>
  <c r="B8" i="24" s="1"/>
  <c r="M24" i="22"/>
  <c r="N24" i="22" s="1"/>
  <c r="O24" i="22" s="1"/>
  <c r="M22" i="22"/>
  <c r="N22" i="22" s="1"/>
  <c r="O22" i="22" s="1"/>
  <c r="M17" i="22"/>
  <c r="O11" i="22"/>
  <c r="N11" i="22"/>
  <c r="M11" i="22"/>
  <c r="O10" i="22"/>
  <c r="N10" i="22"/>
  <c r="M10" i="22"/>
  <c r="O9" i="22"/>
  <c r="N9" i="22"/>
  <c r="M9" i="22"/>
  <c r="O8" i="22"/>
  <c r="N8" i="22"/>
  <c r="M8" i="22"/>
  <c r="O7" i="22"/>
  <c r="N7" i="22"/>
  <c r="M7" i="22"/>
  <c r="N6" i="22"/>
  <c r="M6" i="22"/>
  <c r="E6" i="22"/>
  <c r="O6" i="22" s="1"/>
  <c r="B4" i="21"/>
  <c r="B3" i="21"/>
  <c r="F17" i="20"/>
  <c r="B11" i="1" s="1"/>
  <c r="B16" i="20"/>
  <c r="F14" i="20"/>
  <c r="P9" i="20"/>
  <c r="F8" i="20"/>
  <c r="H507" i="19"/>
  <c r="C507" i="19"/>
  <c r="H506" i="19"/>
  <c r="C506" i="19"/>
  <c r="H505" i="19"/>
  <c r="C505" i="19"/>
  <c r="H504" i="19"/>
  <c r="C504" i="19"/>
  <c r="H503" i="19"/>
  <c r="C503" i="19"/>
  <c r="H502" i="19"/>
  <c r="C502" i="19"/>
  <c r="H501" i="19"/>
  <c r="C501" i="19"/>
  <c r="H500" i="19"/>
  <c r="C500" i="19"/>
  <c r="H499" i="19"/>
  <c r="C499" i="19"/>
  <c r="H498" i="19"/>
  <c r="C498" i="19"/>
  <c r="H497" i="19"/>
  <c r="C497" i="19"/>
  <c r="H496" i="19"/>
  <c r="C496" i="19"/>
  <c r="H495" i="19"/>
  <c r="C495" i="19"/>
  <c r="H494" i="19"/>
  <c r="C494" i="19"/>
  <c r="H493" i="19"/>
  <c r="C493" i="19"/>
  <c r="H492" i="19"/>
  <c r="C492" i="19"/>
  <c r="H491" i="19"/>
  <c r="C491" i="19"/>
  <c r="H490" i="19"/>
  <c r="C490" i="19"/>
  <c r="H489" i="19"/>
  <c r="C489" i="19"/>
  <c r="H488" i="19"/>
  <c r="C488" i="19"/>
  <c r="H487" i="19"/>
  <c r="C487" i="19"/>
  <c r="H486" i="19"/>
  <c r="C486" i="19"/>
  <c r="H485" i="19"/>
  <c r="C485" i="19"/>
  <c r="H484" i="19"/>
  <c r="C484" i="19"/>
  <c r="H483" i="19"/>
  <c r="C483" i="19"/>
  <c r="H482" i="19"/>
  <c r="C482" i="19"/>
  <c r="H481" i="19"/>
  <c r="C481" i="19"/>
  <c r="H480" i="19"/>
  <c r="C480" i="19"/>
  <c r="H479" i="19"/>
  <c r="C479" i="19"/>
  <c r="H478" i="19"/>
  <c r="C478" i="19"/>
  <c r="H477" i="19"/>
  <c r="C477" i="19"/>
  <c r="H476" i="19"/>
  <c r="C476" i="19"/>
  <c r="H475" i="19"/>
  <c r="C475" i="19"/>
  <c r="H474" i="19"/>
  <c r="C474" i="19"/>
  <c r="H473" i="19"/>
  <c r="C473" i="19"/>
  <c r="H472" i="19"/>
  <c r="C472" i="19"/>
  <c r="H471" i="19"/>
  <c r="C471" i="19"/>
  <c r="H470" i="19"/>
  <c r="C470" i="19"/>
  <c r="H469" i="19"/>
  <c r="C469" i="19"/>
  <c r="H468" i="19"/>
  <c r="C468" i="19"/>
  <c r="H467" i="19"/>
  <c r="C467" i="19"/>
  <c r="H466" i="19"/>
  <c r="C466" i="19"/>
  <c r="H465" i="19"/>
  <c r="C465" i="19"/>
  <c r="H464" i="19"/>
  <c r="C464" i="19"/>
  <c r="H463" i="19"/>
  <c r="C463" i="19"/>
  <c r="H462" i="19"/>
  <c r="C462" i="19"/>
  <c r="H461" i="19"/>
  <c r="C461" i="19"/>
  <c r="H460" i="19"/>
  <c r="C460" i="19"/>
  <c r="H459" i="19"/>
  <c r="C459" i="19"/>
  <c r="H458" i="19"/>
  <c r="C458" i="19"/>
  <c r="H457" i="19"/>
  <c r="C457" i="19"/>
  <c r="H456" i="19"/>
  <c r="C456" i="19"/>
  <c r="H455" i="19"/>
  <c r="C455" i="19"/>
  <c r="H454" i="19"/>
  <c r="C454" i="19"/>
  <c r="H453" i="19"/>
  <c r="C453" i="19"/>
  <c r="H452" i="19"/>
  <c r="C452" i="19"/>
  <c r="H451" i="19"/>
  <c r="C451" i="19"/>
  <c r="H450" i="19"/>
  <c r="C450" i="19"/>
  <c r="H449" i="19"/>
  <c r="C449" i="19"/>
  <c r="H448" i="19"/>
  <c r="C448" i="19"/>
  <c r="H447" i="19"/>
  <c r="C447" i="19"/>
  <c r="H446" i="19"/>
  <c r="C446" i="19"/>
  <c r="H445" i="19"/>
  <c r="C445" i="19"/>
  <c r="H444" i="19"/>
  <c r="C444" i="19"/>
  <c r="H443" i="19"/>
  <c r="C443" i="19"/>
  <c r="H442" i="19"/>
  <c r="C442" i="19"/>
  <c r="H441" i="19"/>
  <c r="C441" i="19"/>
  <c r="H440" i="19"/>
  <c r="C440" i="19"/>
  <c r="H439" i="19"/>
  <c r="C439" i="19"/>
  <c r="H438" i="19"/>
  <c r="C438" i="19"/>
  <c r="H437" i="19"/>
  <c r="C437" i="19"/>
  <c r="H436" i="19"/>
  <c r="C436" i="19"/>
  <c r="H435" i="19"/>
  <c r="C435" i="19"/>
  <c r="H434" i="19"/>
  <c r="C434" i="19"/>
  <c r="H433" i="19"/>
  <c r="C433" i="19"/>
  <c r="H432" i="19"/>
  <c r="C432" i="19"/>
  <c r="H431" i="19"/>
  <c r="C431" i="19"/>
  <c r="H430" i="19"/>
  <c r="C430" i="19"/>
  <c r="H429" i="19"/>
  <c r="C429" i="19"/>
  <c r="H428" i="19"/>
  <c r="C428" i="19"/>
  <c r="H427" i="19"/>
  <c r="C427" i="19"/>
  <c r="H426" i="19"/>
  <c r="C426" i="19"/>
  <c r="H425" i="19"/>
  <c r="C425" i="19"/>
  <c r="H424" i="19"/>
  <c r="C424" i="19"/>
  <c r="H423" i="19"/>
  <c r="C423" i="19"/>
  <c r="H422" i="19"/>
  <c r="C422" i="19"/>
  <c r="H421" i="19"/>
  <c r="C421" i="19"/>
  <c r="H420" i="19"/>
  <c r="C420" i="19"/>
  <c r="H419" i="19"/>
  <c r="C419" i="19"/>
  <c r="H418" i="19"/>
  <c r="C418" i="19"/>
  <c r="H417" i="19"/>
  <c r="C417" i="19"/>
  <c r="H416" i="19"/>
  <c r="C416" i="19"/>
  <c r="H415" i="19"/>
  <c r="C415" i="19"/>
  <c r="H414" i="19"/>
  <c r="C414" i="19"/>
  <c r="H413" i="19"/>
  <c r="C413" i="19"/>
  <c r="H412" i="19"/>
  <c r="C412" i="19"/>
  <c r="H411" i="19"/>
  <c r="C411" i="19"/>
  <c r="H410" i="19"/>
  <c r="C410" i="19"/>
  <c r="H409" i="19"/>
  <c r="C409" i="19"/>
  <c r="H408" i="19"/>
  <c r="C408" i="19"/>
  <c r="H407" i="19"/>
  <c r="C407" i="19"/>
  <c r="H406" i="19"/>
  <c r="C406" i="19"/>
  <c r="H405" i="19"/>
  <c r="C405" i="19"/>
  <c r="H404" i="19"/>
  <c r="C404" i="19"/>
  <c r="H403" i="19"/>
  <c r="C403" i="19"/>
  <c r="H402" i="19"/>
  <c r="C402" i="19"/>
  <c r="H401" i="19"/>
  <c r="C401" i="19"/>
  <c r="H400" i="19"/>
  <c r="C400" i="19"/>
  <c r="H399" i="19"/>
  <c r="C399" i="19"/>
  <c r="H398" i="19"/>
  <c r="C398" i="19"/>
  <c r="H397" i="19"/>
  <c r="C397" i="19"/>
  <c r="H396" i="19"/>
  <c r="C396" i="19"/>
  <c r="H395" i="19"/>
  <c r="C395" i="19"/>
  <c r="H394" i="19"/>
  <c r="C394" i="19"/>
  <c r="H393" i="19"/>
  <c r="C393" i="19"/>
  <c r="H392" i="19"/>
  <c r="C392" i="19"/>
  <c r="H391" i="19"/>
  <c r="C391" i="19"/>
  <c r="H390" i="19"/>
  <c r="C390" i="19"/>
  <c r="H389" i="19"/>
  <c r="C389" i="19"/>
  <c r="H388" i="19"/>
  <c r="C388" i="19"/>
  <c r="H387" i="19"/>
  <c r="C387" i="19"/>
  <c r="H386" i="19"/>
  <c r="C386" i="19"/>
  <c r="H385" i="19"/>
  <c r="C385" i="19"/>
  <c r="H384" i="19"/>
  <c r="C384" i="19"/>
  <c r="H383" i="19"/>
  <c r="C383" i="19"/>
  <c r="H382" i="19"/>
  <c r="C382" i="19"/>
  <c r="H381" i="19"/>
  <c r="C381" i="19"/>
  <c r="H380" i="19"/>
  <c r="C380" i="19"/>
  <c r="H379" i="19"/>
  <c r="C379" i="19"/>
  <c r="H378" i="19"/>
  <c r="C378" i="19"/>
  <c r="H377" i="19"/>
  <c r="C377" i="19"/>
  <c r="H376" i="19"/>
  <c r="C376" i="19"/>
  <c r="H375" i="19"/>
  <c r="C375" i="19"/>
  <c r="H374" i="19"/>
  <c r="C374" i="19"/>
  <c r="H373" i="19"/>
  <c r="C373" i="19"/>
  <c r="H372" i="19"/>
  <c r="C372" i="19"/>
  <c r="H371" i="19"/>
  <c r="C371" i="19"/>
  <c r="H370" i="19"/>
  <c r="C370" i="19"/>
  <c r="H369" i="19"/>
  <c r="C369" i="19"/>
  <c r="H368" i="19"/>
  <c r="C368" i="19"/>
  <c r="H367" i="19"/>
  <c r="C367" i="19"/>
  <c r="H366" i="19"/>
  <c r="C366" i="19"/>
  <c r="H365" i="19"/>
  <c r="C365" i="19"/>
  <c r="H364" i="19"/>
  <c r="C364" i="19"/>
  <c r="H363" i="19"/>
  <c r="C363" i="19"/>
  <c r="H362" i="19"/>
  <c r="C362" i="19"/>
  <c r="H361" i="19"/>
  <c r="C361" i="19"/>
  <c r="H360" i="19"/>
  <c r="C360" i="19"/>
  <c r="H359" i="19"/>
  <c r="C359" i="19"/>
  <c r="H358" i="19"/>
  <c r="C358" i="19"/>
  <c r="H357" i="19"/>
  <c r="C357" i="19"/>
  <c r="H356" i="19"/>
  <c r="C356" i="19"/>
  <c r="H355" i="19"/>
  <c r="C355" i="19"/>
  <c r="H354" i="19"/>
  <c r="C354" i="19"/>
  <c r="H353" i="19"/>
  <c r="C353" i="19"/>
  <c r="H352" i="19"/>
  <c r="C352" i="19"/>
  <c r="H351" i="19"/>
  <c r="C351" i="19"/>
  <c r="H350" i="19"/>
  <c r="C350" i="19"/>
  <c r="H349" i="19"/>
  <c r="C349" i="19"/>
  <c r="H348" i="19"/>
  <c r="C348" i="19"/>
  <c r="H347" i="19"/>
  <c r="C347" i="19"/>
  <c r="H346" i="19"/>
  <c r="C346" i="19"/>
  <c r="H345" i="19"/>
  <c r="C345" i="19"/>
  <c r="H344" i="19"/>
  <c r="C344" i="19"/>
  <c r="H343" i="19"/>
  <c r="C343" i="19"/>
  <c r="H342" i="19"/>
  <c r="C342" i="19"/>
  <c r="H341" i="19"/>
  <c r="C341" i="19"/>
  <c r="H340" i="19"/>
  <c r="C340" i="19"/>
  <c r="H339" i="19"/>
  <c r="C339" i="19"/>
  <c r="H338" i="19"/>
  <c r="C338" i="19"/>
  <c r="H337" i="19"/>
  <c r="C337" i="19"/>
  <c r="H336" i="19"/>
  <c r="C336" i="19"/>
  <c r="H335" i="19"/>
  <c r="C335" i="19"/>
  <c r="H334" i="19"/>
  <c r="C334" i="19"/>
  <c r="H333" i="19"/>
  <c r="C333" i="19"/>
  <c r="H332" i="19"/>
  <c r="C332" i="19"/>
  <c r="H331" i="19"/>
  <c r="C331" i="19"/>
  <c r="H330" i="19"/>
  <c r="C330" i="19"/>
  <c r="H329" i="19"/>
  <c r="C329" i="19"/>
  <c r="H328" i="19"/>
  <c r="C328" i="19"/>
  <c r="H327" i="19"/>
  <c r="C327" i="19"/>
  <c r="H326" i="19"/>
  <c r="C326" i="19"/>
  <c r="H325" i="19"/>
  <c r="C325" i="19"/>
  <c r="H324" i="19"/>
  <c r="C324" i="19"/>
  <c r="H323" i="19"/>
  <c r="C323" i="19"/>
  <c r="H322" i="19"/>
  <c r="C322" i="19"/>
  <c r="H321" i="19"/>
  <c r="C321" i="19"/>
  <c r="H320" i="19"/>
  <c r="C320" i="19"/>
  <c r="H319" i="19"/>
  <c r="L4" i="19" s="1"/>
  <c r="L7" i="19" s="1"/>
  <c r="L13" i="19" s="1"/>
  <c r="F11" i="20" s="1"/>
  <c r="C319" i="19"/>
  <c r="H318" i="19"/>
  <c r="C318" i="19"/>
  <c r="H317" i="19"/>
  <c r="C317" i="19"/>
  <c r="H316" i="19"/>
  <c r="C316" i="19"/>
  <c r="H315" i="19"/>
  <c r="C315" i="19"/>
  <c r="H314" i="19"/>
  <c r="C314" i="19"/>
  <c r="H313" i="19"/>
  <c r="C313" i="19"/>
  <c r="H312" i="19"/>
  <c r="C312" i="19"/>
  <c r="H311" i="19"/>
  <c r="C311" i="19"/>
  <c r="H310" i="19"/>
  <c r="C310" i="19"/>
  <c r="H309" i="19"/>
  <c r="C309" i="19"/>
  <c r="H308" i="19"/>
  <c r="C308" i="19"/>
  <c r="H307" i="19"/>
  <c r="C307" i="19"/>
  <c r="H306" i="19"/>
  <c r="C306" i="19"/>
  <c r="H305" i="19"/>
  <c r="C305" i="19"/>
  <c r="H304" i="19"/>
  <c r="C304" i="19"/>
  <c r="H303" i="19"/>
  <c r="C303" i="19"/>
  <c r="H302" i="19"/>
  <c r="C302" i="19"/>
  <c r="H301" i="19"/>
  <c r="C301" i="19"/>
  <c r="H300" i="19"/>
  <c r="C300" i="19"/>
  <c r="H299" i="19"/>
  <c r="C299" i="19"/>
  <c r="H298" i="19"/>
  <c r="C298" i="19"/>
  <c r="H297" i="19"/>
  <c r="C297" i="19"/>
  <c r="H296" i="19"/>
  <c r="C296" i="19"/>
  <c r="H295" i="19"/>
  <c r="C295" i="19"/>
  <c r="H294" i="19"/>
  <c r="C294" i="19"/>
  <c r="H293" i="19"/>
  <c r="C293" i="19"/>
  <c r="H292" i="19"/>
  <c r="C292" i="19"/>
  <c r="H291" i="19"/>
  <c r="C291" i="19"/>
  <c r="H290" i="19"/>
  <c r="C290" i="19"/>
  <c r="H289" i="19"/>
  <c r="C289" i="19"/>
  <c r="H288" i="19"/>
  <c r="C288" i="19"/>
  <c r="H287" i="19"/>
  <c r="C287" i="19"/>
  <c r="H286" i="19"/>
  <c r="C286" i="19"/>
  <c r="H285" i="19"/>
  <c r="C285" i="19"/>
  <c r="H284" i="19"/>
  <c r="C284" i="19"/>
  <c r="H283" i="19"/>
  <c r="C283" i="19"/>
  <c r="H282" i="19"/>
  <c r="C282" i="19"/>
  <c r="H281" i="19"/>
  <c r="C281" i="19"/>
  <c r="H280" i="19"/>
  <c r="C280" i="19"/>
  <c r="H279" i="19"/>
  <c r="C279" i="19"/>
  <c r="H278" i="19"/>
  <c r="C278" i="19"/>
  <c r="H277" i="19"/>
  <c r="C277" i="19"/>
  <c r="H276" i="19"/>
  <c r="C276" i="19"/>
  <c r="H275" i="19"/>
  <c r="C275" i="19"/>
  <c r="H274" i="19"/>
  <c r="C274" i="19"/>
  <c r="H273" i="19"/>
  <c r="C273" i="19"/>
  <c r="H272" i="19"/>
  <c r="C272" i="19"/>
  <c r="H271" i="19"/>
  <c r="C271" i="19"/>
  <c r="H270" i="19"/>
  <c r="C270" i="19"/>
  <c r="H269" i="19"/>
  <c r="C269" i="19"/>
  <c r="H268" i="19"/>
  <c r="C268" i="19"/>
  <c r="H267" i="19"/>
  <c r="C267" i="19"/>
  <c r="H266" i="19"/>
  <c r="C266" i="19"/>
  <c r="H265" i="19"/>
  <c r="C265" i="19"/>
  <c r="H264" i="19"/>
  <c r="C264" i="19"/>
  <c r="H263" i="19"/>
  <c r="C263" i="19"/>
  <c r="H262" i="19"/>
  <c r="C262" i="19"/>
  <c r="H261" i="19"/>
  <c r="C261" i="19"/>
  <c r="H260" i="19"/>
  <c r="C260" i="19"/>
  <c r="H259" i="19"/>
  <c r="C259" i="19"/>
  <c r="H258" i="19"/>
  <c r="C258" i="19"/>
  <c r="H257" i="19"/>
  <c r="C257" i="19"/>
  <c r="H256" i="19"/>
  <c r="C256" i="19"/>
  <c r="H255" i="19"/>
  <c r="C255" i="19"/>
  <c r="H254" i="19"/>
  <c r="C254" i="19"/>
  <c r="H253" i="19"/>
  <c r="C253" i="19"/>
  <c r="H252" i="19"/>
  <c r="C252" i="19"/>
  <c r="H251" i="19"/>
  <c r="C251" i="19"/>
  <c r="H250" i="19"/>
  <c r="C250" i="19"/>
  <c r="H249" i="19"/>
  <c r="C249" i="19"/>
  <c r="H248" i="19"/>
  <c r="C248" i="19"/>
  <c r="H247" i="19"/>
  <c r="C247" i="19"/>
  <c r="H246" i="19"/>
  <c r="C246" i="19"/>
  <c r="H245" i="19"/>
  <c r="C245" i="19"/>
  <c r="H244" i="19"/>
  <c r="C244" i="19"/>
  <c r="H243" i="19"/>
  <c r="C243" i="19"/>
  <c r="H242" i="19"/>
  <c r="C242" i="19"/>
  <c r="H241" i="19"/>
  <c r="C241" i="19"/>
  <c r="H240" i="19"/>
  <c r="C240" i="19"/>
  <c r="H239" i="19"/>
  <c r="C239" i="19"/>
  <c r="H238" i="19"/>
  <c r="C238" i="19"/>
  <c r="H237" i="19"/>
  <c r="C237" i="19"/>
  <c r="H236" i="19"/>
  <c r="C236" i="19"/>
  <c r="H235" i="19"/>
  <c r="C235" i="19"/>
  <c r="H234" i="19"/>
  <c r="C234" i="19"/>
  <c r="H233" i="19"/>
  <c r="C233" i="19"/>
  <c r="H232" i="19"/>
  <c r="C232" i="19"/>
  <c r="H231" i="19"/>
  <c r="C231" i="19"/>
  <c r="H230" i="19"/>
  <c r="C230" i="19"/>
  <c r="H229" i="19"/>
  <c r="C229" i="19"/>
  <c r="H228" i="19"/>
  <c r="C228" i="19"/>
  <c r="H227" i="19"/>
  <c r="C227" i="19"/>
  <c r="H226" i="19"/>
  <c r="C226" i="19"/>
  <c r="H225" i="19"/>
  <c r="C225" i="19"/>
  <c r="H224" i="19"/>
  <c r="C224" i="19"/>
  <c r="H223" i="19"/>
  <c r="C223" i="19"/>
  <c r="H222" i="19"/>
  <c r="C222" i="19"/>
  <c r="H221" i="19"/>
  <c r="C221" i="19"/>
  <c r="H220" i="19"/>
  <c r="C220" i="19"/>
  <c r="H219" i="19"/>
  <c r="C219" i="19"/>
  <c r="H218" i="19"/>
  <c r="C218" i="19"/>
  <c r="H217" i="19"/>
  <c r="C217" i="19"/>
  <c r="H216" i="19"/>
  <c r="C216" i="19"/>
  <c r="H215" i="19"/>
  <c r="C215" i="19"/>
  <c r="H214" i="19"/>
  <c r="C214" i="19"/>
  <c r="H213" i="19"/>
  <c r="C213" i="19"/>
  <c r="H212" i="19"/>
  <c r="C212" i="19"/>
  <c r="H211" i="19"/>
  <c r="C211" i="19"/>
  <c r="H210" i="19"/>
  <c r="C210" i="19"/>
  <c r="H209" i="19"/>
  <c r="C209" i="19"/>
  <c r="H208" i="19"/>
  <c r="C208" i="19"/>
  <c r="H207" i="19"/>
  <c r="C207" i="19"/>
  <c r="H206" i="19"/>
  <c r="C206" i="19"/>
  <c r="H205" i="19"/>
  <c r="C205" i="19"/>
  <c r="H204" i="19"/>
  <c r="C204" i="19"/>
  <c r="H203" i="19"/>
  <c r="C203" i="19"/>
  <c r="H202" i="19"/>
  <c r="C202" i="19"/>
  <c r="H201" i="19"/>
  <c r="C201" i="19"/>
  <c r="H200" i="19"/>
  <c r="C200" i="19"/>
  <c r="H199" i="19"/>
  <c r="C199" i="19"/>
  <c r="H198" i="19"/>
  <c r="C198" i="19"/>
  <c r="H197" i="19"/>
  <c r="C197" i="19"/>
  <c r="H196" i="19"/>
  <c r="C196" i="19"/>
  <c r="H195" i="19"/>
  <c r="C195" i="19"/>
  <c r="H194" i="19"/>
  <c r="C194" i="19"/>
  <c r="H193" i="19"/>
  <c r="C193" i="19"/>
  <c r="H192" i="19"/>
  <c r="C192" i="19"/>
  <c r="H191" i="19"/>
  <c r="C191" i="19"/>
  <c r="H190" i="19"/>
  <c r="C190" i="19"/>
  <c r="H189" i="19"/>
  <c r="C189" i="19"/>
  <c r="H188" i="19"/>
  <c r="C188" i="19"/>
  <c r="H187" i="19"/>
  <c r="C187" i="19"/>
  <c r="H186" i="19"/>
  <c r="C186" i="19"/>
  <c r="H185" i="19"/>
  <c r="C185" i="19"/>
  <c r="H184" i="19"/>
  <c r="C184" i="19"/>
  <c r="H183" i="19"/>
  <c r="C183" i="19"/>
  <c r="H182" i="19"/>
  <c r="C182" i="19"/>
  <c r="H181" i="19"/>
  <c r="C181" i="19"/>
  <c r="H180" i="19"/>
  <c r="C180" i="19"/>
  <c r="H179" i="19"/>
  <c r="C179" i="19"/>
  <c r="H178" i="19"/>
  <c r="C178" i="19"/>
  <c r="H177" i="19"/>
  <c r="C177" i="19"/>
  <c r="H176" i="19"/>
  <c r="C176" i="19"/>
  <c r="H175" i="19"/>
  <c r="C175" i="19"/>
  <c r="H174" i="19"/>
  <c r="C174" i="19"/>
  <c r="H173" i="19"/>
  <c r="C173" i="19"/>
  <c r="H172" i="19"/>
  <c r="C172" i="19"/>
  <c r="H171" i="19"/>
  <c r="C171" i="19"/>
  <c r="H170" i="19"/>
  <c r="C170" i="19"/>
  <c r="H169" i="19"/>
  <c r="C169" i="19"/>
  <c r="H168" i="19"/>
  <c r="C168" i="19"/>
  <c r="H167" i="19"/>
  <c r="C167" i="19"/>
  <c r="H166" i="19"/>
  <c r="C166" i="19"/>
  <c r="H165" i="19"/>
  <c r="C165" i="19"/>
  <c r="H164" i="19"/>
  <c r="C164" i="19"/>
  <c r="H163" i="19"/>
  <c r="C163" i="19"/>
  <c r="H162" i="19"/>
  <c r="C162" i="19"/>
  <c r="H161" i="19"/>
  <c r="C161" i="19"/>
  <c r="H160" i="19"/>
  <c r="C160" i="19"/>
  <c r="H159" i="19"/>
  <c r="C159" i="19"/>
  <c r="H158" i="19"/>
  <c r="C158" i="19"/>
  <c r="H157" i="19"/>
  <c r="C157" i="19"/>
  <c r="H156" i="19"/>
  <c r="C156" i="19"/>
  <c r="H155" i="19"/>
  <c r="C155" i="19"/>
  <c r="H154" i="19"/>
  <c r="C154" i="19"/>
  <c r="H153" i="19"/>
  <c r="C153" i="19"/>
  <c r="H152" i="19"/>
  <c r="C152" i="19"/>
  <c r="H151" i="19"/>
  <c r="C151" i="19"/>
  <c r="H150" i="19"/>
  <c r="C150" i="19"/>
  <c r="H149" i="19"/>
  <c r="C149" i="19"/>
  <c r="H148" i="19"/>
  <c r="C148" i="19"/>
  <c r="H147" i="19"/>
  <c r="C147" i="19"/>
  <c r="H146" i="19"/>
  <c r="C146" i="19"/>
  <c r="H145" i="19"/>
  <c r="C145" i="19"/>
  <c r="H144" i="19"/>
  <c r="C144" i="19"/>
  <c r="H143" i="19"/>
  <c r="C143" i="19"/>
  <c r="H142" i="19"/>
  <c r="C142" i="19"/>
  <c r="H141" i="19"/>
  <c r="C141" i="19"/>
  <c r="H140" i="19"/>
  <c r="C140" i="19"/>
  <c r="H139" i="19"/>
  <c r="C139" i="19"/>
  <c r="H138" i="19"/>
  <c r="C138" i="19"/>
  <c r="H137" i="19"/>
  <c r="C137" i="19"/>
  <c r="H136" i="19"/>
  <c r="C136" i="19"/>
  <c r="H135" i="19"/>
  <c r="C135" i="19"/>
  <c r="H134" i="19"/>
  <c r="C134" i="19"/>
  <c r="H133" i="19"/>
  <c r="C133" i="19"/>
  <c r="H132" i="19"/>
  <c r="C132" i="19"/>
  <c r="H131" i="19"/>
  <c r="C131" i="19"/>
  <c r="H130" i="19"/>
  <c r="C130" i="19"/>
  <c r="H129" i="19"/>
  <c r="C129" i="19"/>
  <c r="H128" i="19"/>
  <c r="C128" i="19"/>
  <c r="H127" i="19"/>
  <c r="C127" i="19"/>
  <c r="H126" i="19"/>
  <c r="C126" i="19"/>
  <c r="H125" i="19"/>
  <c r="C125" i="19"/>
  <c r="H124" i="19"/>
  <c r="C124" i="19"/>
  <c r="H123" i="19"/>
  <c r="C123" i="19"/>
  <c r="H122" i="19"/>
  <c r="C122" i="19"/>
  <c r="H121" i="19"/>
  <c r="C121" i="19"/>
  <c r="H120" i="19"/>
  <c r="C120" i="19"/>
  <c r="H119" i="19"/>
  <c r="C119" i="19"/>
  <c r="H118" i="19"/>
  <c r="C118" i="19"/>
  <c r="H117" i="19"/>
  <c r="C117" i="19"/>
  <c r="H116" i="19"/>
  <c r="C116" i="19"/>
  <c r="H115" i="19"/>
  <c r="C115" i="19"/>
  <c r="H114" i="19"/>
  <c r="C114" i="19"/>
  <c r="H113" i="19"/>
  <c r="C113" i="19"/>
  <c r="H112" i="19"/>
  <c r="C112" i="19"/>
  <c r="H111" i="19"/>
  <c r="C111" i="19"/>
  <c r="H110" i="19"/>
  <c r="C110" i="19"/>
  <c r="H109" i="19"/>
  <c r="C109" i="19"/>
  <c r="H108" i="19"/>
  <c r="C108" i="19"/>
  <c r="H107" i="19"/>
  <c r="C107" i="19"/>
  <c r="H106" i="19"/>
  <c r="C106" i="19"/>
  <c r="H105" i="19"/>
  <c r="C105" i="19"/>
  <c r="H104" i="19"/>
  <c r="C104" i="19"/>
  <c r="H103" i="19"/>
  <c r="C103" i="19"/>
  <c r="H102" i="19"/>
  <c r="C102" i="19"/>
  <c r="H101" i="19"/>
  <c r="C101" i="19"/>
  <c r="H100" i="19"/>
  <c r="C100" i="19"/>
  <c r="H99" i="19"/>
  <c r="C99" i="19"/>
  <c r="H98" i="19"/>
  <c r="C98" i="19"/>
  <c r="H97" i="19"/>
  <c r="C97" i="19"/>
  <c r="H96" i="19"/>
  <c r="C96" i="19"/>
  <c r="H95" i="19"/>
  <c r="C95" i="19"/>
  <c r="H94" i="19"/>
  <c r="C94" i="19"/>
  <c r="H93" i="19"/>
  <c r="C93" i="19"/>
  <c r="H92" i="19"/>
  <c r="C92" i="19"/>
  <c r="H91" i="19"/>
  <c r="C91" i="19"/>
  <c r="H90" i="19"/>
  <c r="C90" i="19"/>
  <c r="H89" i="19"/>
  <c r="C89" i="19"/>
  <c r="H88" i="19"/>
  <c r="C88" i="19"/>
  <c r="H87" i="19"/>
  <c r="C87" i="19"/>
  <c r="H86" i="19"/>
  <c r="C86" i="19"/>
  <c r="H85" i="19"/>
  <c r="C85" i="19"/>
  <c r="H84" i="19"/>
  <c r="C84" i="19"/>
  <c r="H83" i="19"/>
  <c r="C83" i="19"/>
  <c r="H82" i="19"/>
  <c r="C82" i="19"/>
  <c r="H81" i="19"/>
  <c r="C81" i="19"/>
  <c r="H80" i="19"/>
  <c r="C80" i="19"/>
  <c r="H79" i="19"/>
  <c r="C79" i="19"/>
  <c r="H78" i="19"/>
  <c r="C78" i="19"/>
  <c r="H77" i="19"/>
  <c r="C77" i="19"/>
  <c r="H76" i="19"/>
  <c r="C76" i="19"/>
  <c r="H75" i="19"/>
  <c r="C75" i="19"/>
  <c r="H74" i="19"/>
  <c r="C74" i="19"/>
  <c r="H73" i="19"/>
  <c r="C73" i="19"/>
  <c r="H72" i="19"/>
  <c r="C72" i="19"/>
  <c r="H71" i="19"/>
  <c r="C71" i="19"/>
  <c r="H70" i="19"/>
  <c r="C70" i="19"/>
  <c r="H69" i="19"/>
  <c r="C69" i="19"/>
  <c r="H68" i="19"/>
  <c r="C68" i="19"/>
  <c r="H67" i="19"/>
  <c r="C67" i="19"/>
  <c r="H66" i="19"/>
  <c r="C66" i="19"/>
  <c r="H65" i="19"/>
  <c r="C65" i="19"/>
  <c r="H64" i="19"/>
  <c r="C64" i="19"/>
  <c r="H63" i="19"/>
  <c r="C63" i="19"/>
  <c r="H62" i="19"/>
  <c r="C62" i="19"/>
  <c r="H61" i="19"/>
  <c r="C61" i="19"/>
  <c r="H60" i="19"/>
  <c r="C60" i="19"/>
  <c r="H59" i="19"/>
  <c r="C59" i="19"/>
  <c r="H58" i="19"/>
  <c r="C58" i="19"/>
  <c r="H57" i="19"/>
  <c r="C57" i="19"/>
  <c r="H56" i="19"/>
  <c r="C56" i="19"/>
  <c r="H55" i="19"/>
  <c r="C55" i="19"/>
  <c r="H54" i="19"/>
  <c r="C54" i="19"/>
  <c r="H53" i="19"/>
  <c r="C53" i="19"/>
  <c r="H52" i="19"/>
  <c r="C52" i="19"/>
  <c r="H51" i="19"/>
  <c r="C51" i="19"/>
  <c r="H50" i="19"/>
  <c r="C50" i="19"/>
  <c r="H49" i="19"/>
  <c r="C49" i="19"/>
  <c r="H48" i="19"/>
  <c r="C48" i="19"/>
  <c r="H47" i="19"/>
  <c r="C47" i="19"/>
  <c r="H46" i="19"/>
  <c r="C46" i="19"/>
  <c r="H45" i="19"/>
  <c r="C45" i="19"/>
  <c r="H44" i="19"/>
  <c r="C44" i="19"/>
  <c r="H43" i="19"/>
  <c r="C43" i="19"/>
  <c r="H42" i="19"/>
  <c r="C42" i="19"/>
  <c r="H41" i="19"/>
  <c r="C41" i="19"/>
  <c r="H40" i="19"/>
  <c r="C40" i="19"/>
  <c r="H39" i="19"/>
  <c r="C39" i="19"/>
  <c r="H38" i="19"/>
  <c r="C38" i="19"/>
  <c r="H37" i="19"/>
  <c r="C37" i="19"/>
  <c r="H36" i="19"/>
  <c r="C36" i="19"/>
  <c r="H35" i="19"/>
  <c r="C35" i="19"/>
  <c r="H34" i="19"/>
  <c r="C34" i="19"/>
  <c r="H33" i="19"/>
  <c r="C33" i="19"/>
  <c r="H32" i="19"/>
  <c r="C32" i="19"/>
  <c r="H31" i="19"/>
  <c r="C31" i="19"/>
  <c r="H30" i="19"/>
  <c r="C30" i="19"/>
  <c r="H29" i="19"/>
  <c r="C29" i="19"/>
  <c r="H28" i="19"/>
  <c r="C28" i="19"/>
  <c r="H27" i="19"/>
  <c r="C27" i="19"/>
  <c r="H26" i="19"/>
  <c r="C26" i="19"/>
  <c r="H25" i="19"/>
  <c r="C25" i="19"/>
  <c r="H24" i="19"/>
  <c r="C24" i="19"/>
  <c r="H23" i="19"/>
  <c r="C23" i="19"/>
  <c r="H22" i="19"/>
  <c r="C22" i="19"/>
  <c r="H21" i="19"/>
  <c r="C21" i="19"/>
  <c r="H20" i="19"/>
  <c r="C20" i="19"/>
  <c r="H19" i="19"/>
  <c r="C19" i="19"/>
  <c r="H18" i="19"/>
  <c r="C18" i="19"/>
  <c r="H17" i="19"/>
  <c r="C17" i="19"/>
  <c r="H16" i="19"/>
  <c r="C16" i="19"/>
  <c r="H15" i="19"/>
  <c r="C15" i="19"/>
  <c r="H14" i="19"/>
  <c r="C14" i="19"/>
  <c r="H13" i="19"/>
  <c r="C13" i="19"/>
  <c r="H12" i="19"/>
  <c r="C12" i="19"/>
  <c r="H11" i="19"/>
  <c r="C11" i="19"/>
  <c r="H10" i="19"/>
  <c r="C10" i="19"/>
  <c r="H9" i="19"/>
  <c r="C9" i="19"/>
  <c r="H8" i="19"/>
  <c r="C8" i="19"/>
  <c r="H7" i="19"/>
  <c r="C7" i="19"/>
  <c r="H6" i="19"/>
  <c r="C6" i="19"/>
  <c r="M13" i="18"/>
  <c r="L13" i="18"/>
  <c r="K13" i="18"/>
  <c r="J13" i="18"/>
  <c r="I13" i="18"/>
  <c r="H11" i="18"/>
  <c r="G11" i="18"/>
  <c r="F11" i="18"/>
  <c r="E11" i="18"/>
  <c r="D11" i="18"/>
  <c r="H8" i="18"/>
  <c r="G8" i="18"/>
  <c r="F8" i="18"/>
  <c r="E8" i="18"/>
  <c r="D8" i="18"/>
  <c r="M7" i="18"/>
  <c r="I34" i="7" s="1"/>
  <c r="L7" i="18"/>
  <c r="H34" i="7" s="1"/>
  <c r="K7" i="18"/>
  <c r="G34" i="7" s="1"/>
  <c r="J7" i="18"/>
  <c r="F34" i="7" s="1"/>
  <c r="I7" i="18"/>
  <c r="E34" i="7" s="1"/>
  <c r="I6" i="18"/>
  <c r="H6" i="18"/>
  <c r="G6" i="18"/>
  <c r="F6" i="18"/>
  <c r="E6" i="18"/>
  <c r="D6" i="18"/>
  <c r="K51" i="17"/>
  <c r="B37" i="16" s="1"/>
  <c r="F44" i="17"/>
  <c r="E44" i="17"/>
  <c r="D44" i="17"/>
  <c r="C44" i="17"/>
  <c r="B44" i="17"/>
  <c r="F43" i="17"/>
  <c r="E43" i="17"/>
  <c r="D43" i="17"/>
  <c r="C43" i="17"/>
  <c r="B43" i="17"/>
  <c r="H27" i="17"/>
  <c r="G27" i="17"/>
  <c r="F27" i="17"/>
  <c r="E27" i="17"/>
  <c r="D27" i="17"/>
  <c r="M26" i="17"/>
  <c r="M24" i="17"/>
  <c r="L24" i="17"/>
  <c r="K24" i="17"/>
  <c r="J24" i="17"/>
  <c r="I24" i="17"/>
  <c r="I22" i="17"/>
  <c r="H22" i="17"/>
  <c r="G22" i="17"/>
  <c r="F22" i="17"/>
  <c r="E22" i="17"/>
  <c r="D22" i="17"/>
  <c r="M19" i="17"/>
  <c r="L19" i="17"/>
  <c r="L26" i="17" s="1"/>
  <c r="K19" i="17"/>
  <c r="K26" i="17" s="1"/>
  <c r="J19" i="17"/>
  <c r="J26" i="17" s="1"/>
  <c r="I19" i="17"/>
  <c r="I26" i="17" s="1"/>
  <c r="E19" i="17"/>
  <c r="E26" i="17" s="1"/>
  <c r="E25" i="17" s="1"/>
  <c r="D19" i="17"/>
  <c r="D26" i="17" s="1"/>
  <c r="D25" i="17" s="1"/>
  <c r="C19" i="17"/>
  <c r="A19" i="17"/>
  <c r="C15" i="17"/>
  <c r="M14" i="17"/>
  <c r="L14" i="17"/>
  <c r="K14" i="17"/>
  <c r="J14" i="17"/>
  <c r="I14" i="17"/>
  <c r="E11" i="17"/>
  <c r="D11" i="17"/>
  <c r="D12" i="17" s="1"/>
  <c r="I10" i="17"/>
  <c r="H10" i="17"/>
  <c r="G10" i="17"/>
  <c r="F10" i="17"/>
  <c r="E10" i="17"/>
  <c r="E12" i="17" s="1"/>
  <c r="M7" i="17"/>
  <c r="L27" i="16" s="1"/>
  <c r="L7" i="17"/>
  <c r="K27" i="16" s="1"/>
  <c r="K7" i="17"/>
  <c r="J27" i="16" s="1"/>
  <c r="J7" i="17"/>
  <c r="I27" i="16" s="1"/>
  <c r="I7" i="17"/>
  <c r="H27" i="16" s="1"/>
  <c r="H6" i="17"/>
  <c r="G6" i="17"/>
  <c r="F6" i="17"/>
  <c r="C6" i="17"/>
  <c r="H5" i="17"/>
  <c r="G5" i="17"/>
  <c r="F5" i="17"/>
  <c r="E5" i="17"/>
  <c r="E7" i="17" s="1"/>
  <c r="D27" i="16" s="1"/>
  <c r="D5" i="17"/>
  <c r="D7" i="17" s="1"/>
  <c r="C27" i="16" s="1"/>
  <c r="C5" i="17"/>
  <c r="N9" i="15"/>
  <c r="M9" i="15"/>
  <c r="L9" i="15"/>
  <c r="K9" i="15"/>
  <c r="J9" i="15"/>
  <c r="I9" i="15"/>
  <c r="H9" i="15"/>
  <c r="G9" i="15"/>
  <c r="F9" i="15"/>
  <c r="E9" i="15"/>
  <c r="D9" i="15"/>
  <c r="N7" i="15"/>
  <c r="M7" i="15"/>
  <c r="L7" i="15"/>
  <c r="K7" i="15"/>
  <c r="J7" i="15"/>
  <c r="I7" i="15"/>
  <c r="H7" i="15"/>
  <c r="G7" i="15"/>
  <c r="F7" i="15"/>
  <c r="E7" i="15"/>
  <c r="D7" i="15"/>
  <c r="N5" i="15"/>
  <c r="M5" i="15"/>
  <c r="L5" i="15"/>
  <c r="K5" i="15"/>
  <c r="J5" i="15"/>
  <c r="I5" i="15"/>
  <c r="H5" i="15"/>
  <c r="G5" i="15"/>
  <c r="F5" i="15"/>
  <c r="E5" i="15"/>
  <c r="D5" i="15"/>
  <c r="N3" i="15"/>
  <c r="H4" i="13" s="1"/>
  <c r="M3" i="15"/>
  <c r="G4" i="13" s="1"/>
  <c r="L3" i="15"/>
  <c r="F4" i="13" s="1"/>
  <c r="K3" i="15"/>
  <c r="E4" i="13" s="1"/>
  <c r="J3" i="15"/>
  <c r="D4" i="13" s="1"/>
  <c r="I3" i="15"/>
  <c r="C4" i="13" s="1"/>
  <c r="H3" i="15"/>
  <c r="G3" i="15"/>
  <c r="F3" i="15"/>
  <c r="E3" i="15"/>
  <c r="D3" i="15"/>
  <c r="F37" i="14"/>
  <c r="G37" i="14" s="1"/>
  <c r="H37" i="14" s="1"/>
  <c r="I37" i="14" s="1"/>
  <c r="J37" i="14" s="1"/>
  <c r="K37" i="14" s="1"/>
  <c r="E37" i="14"/>
  <c r="D37" i="14"/>
  <c r="C37" i="14"/>
  <c r="B37" i="14"/>
  <c r="F36" i="14"/>
  <c r="G36" i="14" s="1"/>
  <c r="H36" i="14" s="1"/>
  <c r="I36" i="14" s="1"/>
  <c r="E36" i="14"/>
  <c r="D36" i="14"/>
  <c r="C36" i="14"/>
  <c r="B36" i="14"/>
  <c r="F29" i="14"/>
  <c r="G30" i="14" s="1"/>
  <c r="E29" i="14"/>
  <c r="D29" i="14"/>
  <c r="C29" i="14"/>
  <c r="B29" i="14"/>
  <c r="F25" i="14"/>
  <c r="E25" i="14"/>
  <c r="D25" i="14"/>
  <c r="C25" i="14"/>
  <c r="B25" i="14"/>
  <c r="F21" i="14"/>
  <c r="E21" i="14"/>
  <c r="E34" i="14" s="1"/>
  <c r="D21" i="14"/>
  <c r="D34" i="14" s="1"/>
  <c r="C21" i="14"/>
  <c r="C34" i="14" s="1"/>
  <c r="B21" i="14"/>
  <c r="B34" i="14" s="1"/>
  <c r="F16" i="14"/>
  <c r="F18" i="14" s="1"/>
  <c r="E16" i="14"/>
  <c r="E18" i="14" s="1"/>
  <c r="D16" i="14"/>
  <c r="D18" i="14" s="1"/>
  <c r="C16" i="14"/>
  <c r="C18" i="14" s="1"/>
  <c r="C19" i="14" s="1"/>
  <c r="B16" i="14"/>
  <c r="B18" i="14" s="1"/>
  <c r="F15" i="14"/>
  <c r="E15" i="14"/>
  <c r="D15" i="14"/>
  <c r="I15" i="6" s="1"/>
  <c r="C15" i="14"/>
  <c r="H15" i="6" s="1"/>
  <c r="B15" i="14"/>
  <c r="G15" i="6" s="1"/>
  <c r="F12" i="14"/>
  <c r="E12" i="14"/>
  <c r="D12" i="14"/>
  <c r="C12" i="14"/>
  <c r="B12" i="14"/>
  <c r="F6" i="14"/>
  <c r="E6" i="14"/>
  <c r="D6" i="14"/>
  <c r="C6" i="14"/>
  <c r="B6" i="14"/>
  <c r="F5" i="14"/>
  <c r="E5" i="14"/>
  <c r="D5" i="14"/>
  <c r="C5" i="14"/>
  <c r="B5" i="14"/>
  <c r="H32" i="13"/>
  <c r="G32" i="13"/>
  <c r="F32" i="13"/>
  <c r="E31" i="13"/>
  <c r="D31" i="13"/>
  <c r="C31" i="13"/>
  <c r="H30" i="13"/>
  <c r="G30" i="13"/>
  <c r="F30" i="13"/>
  <c r="E30" i="13"/>
  <c r="D30" i="13"/>
  <c r="C30" i="13"/>
  <c r="H27" i="13"/>
  <c r="G27" i="13"/>
  <c r="F27" i="13"/>
  <c r="E27" i="13"/>
  <c r="D27" i="13"/>
  <c r="H26" i="13"/>
  <c r="G26" i="13"/>
  <c r="F26" i="13"/>
  <c r="H25" i="13"/>
  <c r="G25" i="13"/>
  <c r="F25" i="13"/>
  <c r="E25" i="13"/>
  <c r="D25" i="13"/>
  <c r="H24" i="13"/>
  <c r="G24" i="13"/>
  <c r="F24" i="13"/>
  <c r="E24" i="13"/>
  <c r="D24" i="13"/>
  <c r="R22" i="13"/>
  <c r="Q22" i="13"/>
  <c r="P22" i="13"/>
  <c r="R21" i="13"/>
  <c r="Q21" i="13"/>
  <c r="P21" i="13"/>
  <c r="H21" i="13"/>
  <c r="G21" i="13"/>
  <c r="F21" i="13"/>
  <c r="E21" i="13"/>
  <c r="D21" i="13"/>
  <c r="R20" i="13"/>
  <c r="Q20" i="13"/>
  <c r="P20" i="13"/>
  <c r="H20" i="13"/>
  <c r="G20" i="13"/>
  <c r="F20" i="13"/>
  <c r="E20" i="13"/>
  <c r="D20" i="13"/>
  <c r="H19" i="13"/>
  <c r="G19" i="13"/>
  <c r="F19" i="13"/>
  <c r="E19" i="13"/>
  <c r="D19" i="13"/>
  <c r="H16" i="13"/>
  <c r="G16" i="13"/>
  <c r="F16" i="13"/>
  <c r="E16" i="13"/>
  <c r="D16" i="13"/>
  <c r="C16" i="13"/>
  <c r="H15" i="13"/>
  <c r="G15" i="13"/>
  <c r="F15" i="13"/>
  <c r="E15" i="13"/>
  <c r="D15" i="13"/>
  <c r="C15" i="13"/>
  <c r="H14" i="13"/>
  <c r="G14" i="13"/>
  <c r="F14" i="13"/>
  <c r="R13" i="13"/>
  <c r="Q13" i="13"/>
  <c r="P13" i="13"/>
  <c r="O13" i="13"/>
  <c r="N13" i="13"/>
  <c r="H12" i="13"/>
  <c r="G12" i="13"/>
  <c r="F12" i="13"/>
  <c r="R11" i="13"/>
  <c r="R15" i="13" s="1"/>
  <c r="Q11" i="13"/>
  <c r="Q15" i="13" s="1"/>
  <c r="P11" i="13"/>
  <c r="P15" i="13" s="1"/>
  <c r="O11" i="13"/>
  <c r="O15" i="13" s="1"/>
  <c r="N11" i="13"/>
  <c r="N15" i="13" s="1"/>
  <c r="H11" i="13"/>
  <c r="G11" i="13"/>
  <c r="F11" i="13"/>
  <c r="R10" i="13"/>
  <c r="R14" i="13" s="1"/>
  <c r="Q10" i="13"/>
  <c r="Q14" i="13" s="1"/>
  <c r="P10" i="13"/>
  <c r="P14" i="13" s="1"/>
  <c r="O10" i="13"/>
  <c r="O14" i="13" s="1"/>
  <c r="N10" i="13"/>
  <c r="N14" i="13" s="1"/>
  <c r="R9" i="13"/>
  <c r="R16" i="13" s="1"/>
  <c r="Q9" i="13"/>
  <c r="Q16" i="13" s="1"/>
  <c r="P9" i="13"/>
  <c r="P16" i="13" s="1"/>
  <c r="O9" i="13"/>
  <c r="O16" i="13" s="1"/>
  <c r="N9" i="13"/>
  <c r="N16" i="13" s="1"/>
  <c r="H8" i="13"/>
  <c r="G8" i="13"/>
  <c r="F8" i="13"/>
  <c r="E8" i="13"/>
  <c r="D8" i="13"/>
  <c r="H7" i="13"/>
  <c r="G7" i="13"/>
  <c r="R6" i="13"/>
  <c r="Q6" i="13"/>
  <c r="P6" i="13"/>
  <c r="H5" i="13"/>
  <c r="G5" i="13"/>
  <c r="R4" i="13"/>
  <c r="Q4" i="13"/>
  <c r="P4" i="13"/>
  <c r="O4" i="13"/>
  <c r="N4" i="13"/>
  <c r="R3" i="13"/>
  <c r="R5" i="13" s="1"/>
  <c r="Q3" i="13"/>
  <c r="Q5" i="13" s="1"/>
  <c r="P3" i="13"/>
  <c r="P5" i="13" s="1"/>
  <c r="O3" i="13"/>
  <c r="O5" i="13" s="1"/>
  <c r="N3" i="13"/>
  <c r="N5" i="13" s="1"/>
  <c r="R2" i="13"/>
  <c r="Q2" i="13"/>
  <c r="P2" i="13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D87" i="12"/>
  <c r="C87" i="12"/>
  <c r="B87" i="12"/>
  <c r="A87" i="12"/>
  <c r="D86" i="12"/>
  <c r="C86" i="12"/>
  <c r="B86" i="12"/>
  <c r="A86" i="12"/>
  <c r="D85" i="12"/>
  <c r="C85" i="12"/>
  <c r="B85" i="12"/>
  <c r="A85" i="12"/>
  <c r="D84" i="12"/>
  <c r="C84" i="12"/>
  <c r="B84" i="12"/>
  <c r="A84" i="12"/>
  <c r="D83" i="12"/>
  <c r="C83" i="12"/>
  <c r="B83" i="12"/>
  <c r="A83" i="12"/>
  <c r="D82" i="12"/>
  <c r="C82" i="12"/>
  <c r="B82" i="12"/>
  <c r="A82" i="12"/>
  <c r="D81" i="12"/>
  <c r="C81" i="12"/>
  <c r="B81" i="12"/>
  <c r="A81" i="12"/>
  <c r="D80" i="12"/>
  <c r="C80" i="12"/>
  <c r="B80" i="12"/>
  <c r="A80" i="12"/>
  <c r="D79" i="12"/>
  <c r="C79" i="12"/>
  <c r="B79" i="12"/>
  <c r="A79" i="12"/>
  <c r="A78" i="12"/>
  <c r="D77" i="12"/>
  <c r="C77" i="12"/>
  <c r="B77" i="12"/>
  <c r="A77" i="12"/>
  <c r="D76" i="12"/>
  <c r="C76" i="12"/>
  <c r="B76" i="12"/>
  <c r="A76" i="12"/>
  <c r="D75" i="12"/>
  <c r="C75" i="12"/>
  <c r="B75" i="12"/>
  <c r="A75" i="12"/>
  <c r="D74" i="12"/>
  <c r="C74" i="12"/>
  <c r="B74" i="12"/>
  <c r="A74" i="12"/>
  <c r="D73" i="12"/>
  <c r="C73" i="12"/>
  <c r="B73" i="12"/>
  <c r="A73" i="12"/>
  <c r="D72" i="12"/>
  <c r="C72" i="12"/>
  <c r="B72" i="12"/>
  <c r="A72" i="12"/>
  <c r="D71" i="12"/>
  <c r="C71" i="12"/>
  <c r="B71" i="12"/>
  <c r="A71" i="12"/>
  <c r="A70" i="12"/>
  <c r="D69" i="12"/>
  <c r="C69" i="12"/>
  <c r="B69" i="12"/>
  <c r="A69" i="12"/>
  <c r="D68" i="12"/>
  <c r="C68" i="12"/>
  <c r="B68" i="12"/>
  <c r="A68" i="12"/>
  <c r="D67" i="12"/>
  <c r="C67" i="12"/>
  <c r="B67" i="12"/>
  <c r="A67" i="12"/>
  <c r="D66" i="12"/>
  <c r="C66" i="12"/>
  <c r="B66" i="12"/>
  <c r="A66" i="12"/>
  <c r="D65" i="12"/>
  <c r="C65" i="12"/>
  <c r="B65" i="12"/>
  <c r="A65" i="12"/>
  <c r="D64" i="12"/>
  <c r="C64" i="12"/>
  <c r="B64" i="12"/>
  <c r="A64" i="12"/>
  <c r="A63" i="12"/>
  <c r="D62" i="12"/>
  <c r="C62" i="12"/>
  <c r="B62" i="12"/>
  <c r="A62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G49" i="12"/>
  <c r="F49" i="12"/>
  <c r="E49" i="12"/>
  <c r="D49" i="12"/>
  <c r="C49" i="12"/>
  <c r="B49" i="12"/>
  <c r="G47" i="12"/>
  <c r="F47" i="12"/>
  <c r="E47" i="12"/>
  <c r="D47" i="12"/>
  <c r="C47" i="12"/>
  <c r="B47" i="12"/>
  <c r="G46" i="12"/>
  <c r="F46" i="12"/>
  <c r="E46" i="12"/>
  <c r="G44" i="12"/>
  <c r="F44" i="12"/>
  <c r="E44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F36" i="12"/>
  <c r="E36" i="12"/>
  <c r="D36" i="12"/>
  <c r="C36" i="12"/>
  <c r="B36" i="12"/>
  <c r="A36" i="12"/>
  <c r="F35" i="12"/>
  <c r="E35" i="12"/>
  <c r="D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E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F6" i="12"/>
  <c r="E6" i="12"/>
  <c r="D6" i="12"/>
  <c r="C6" i="12"/>
  <c r="B6" i="12"/>
  <c r="A6" i="12"/>
  <c r="F5" i="12"/>
  <c r="E5" i="12"/>
  <c r="D5" i="12"/>
  <c r="C5" i="12"/>
  <c r="B5" i="12"/>
  <c r="A5" i="12"/>
  <c r="F4" i="12"/>
  <c r="E4" i="12"/>
  <c r="D4" i="12"/>
  <c r="C4" i="12"/>
  <c r="B4" i="12"/>
  <c r="A4" i="12"/>
  <c r="F3" i="12"/>
  <c r="E3" i="12"/>
  <c r="D3" i="12"/>
  <c r="C3" i="12"/>
  <c r="B3" i="12"/>
  <c r="A3" i="12"/>
  <c r="M22" i="10"/>
  <c r="O13" i="10"/>
  <c r="P13" i="10" s="1"/>
  <c r="M13" i="10"/>
  <c r="N13" i="10" s="1"/>
  <c r="O12" i="10"/>
  <c r="P12" i="10" s="1"/>
  <c r="M12" i="10"/>
  <c r="N12" i="10" s="1"/>
  <c r="O11" i="10"/>
  <c r="P11" i="10" s="1"/>
  <c r="M11" i="10"/>
  <c r="N11" i="10" s="1"/>
  <c r="C50" i="9"/>
  <c r="C37" i="9"/>
  <c r="H35" i="9"/>
  <c r="H36" i="9" s="1"/>
  <c r="H37" i="9" s="1"/>
  <c r="H38" i="9" s="1"/>
  <c r="C35" i="9"/>
  <c r="C34" i="9"/>
  <c r="H33" i="9"/>
  <c r="H32" i="9" s="1"/>
  <c r="H31" i="9" s="1"/>
  <c r="H30" i="9" s="1"/>
  <c r="C33" i="9"/>
  <c r="C31" i="9"/>
  <c r="C36" i="9" s="1"/>
  <c r="C38" i="9" s="1"/>
  <c r="O29" i="9"/>
  <c r="P29" i="9" s="1"/>
  <c r="Q29" i="9" s="1"/>
  <c r="N29" i="9"/>
  <c r="L29" i="9"/>
  <c r="K29" i="9"/>
  <c r="J29" i="9"/>
  <c r="I29" i="9"/>
  <c r="C27" i="9"/>
  <c r="M13" i="9"/>
  <c r="E17" i="8"/>
  <c r="D17" i="8"/>
  <c r="C17" i="8"/>
  <c r="E16" i="8"/>
  <c r="D16" i="8"/>
  <c r="C16" i="8"/>
  <c r="E14" i="8"/>
  <c r="D14" i="8"/>
  <c r="C14" i="8"/>
  <c r="E12" i="8"/>
  <c r="D12" i="8"/>
  <c r="C12" i="8"/>
  <c r="E10" i="8"/>
  <c r="D10" i="8"/>
  <c r="C10" i="8"/>
  <c r="J9" i="8"/>
  <c r="I9" i="8"/>
  <c r="H9" i="8"/>
  <c r="G9" i="8"/>
  <c r="F9" i="8"/>
  <c r="E9" i="8"/>
  <c r="D9" i="8"/>
  <c r="C9" i="8"/>
  <c r="B9" i="8"/>
  <c r="E8" i="8"/>
  <c r="D8" i="8"/>
  <c r="C8" i="8"/>
  <c r="B8" i="8"/>
  <c r="E7" i="8"/>
  <c r="D7" i="8"/>
  <c r="C7" i="8"/>
  <c r="B7" i="8"/>
  <c r="E6" i="8"/>
  <c r="E11" i="8" s="1"/>
  <c r="E13" i="8" s="1"/>
  <c r="E15" i="8" s="1"/>
  <c r="D6" i="8"/>
  <c r="D11" i="8" s="1"/>
  <c r="D13" i="8" s="1"/>
  <c r="D15" i="8" s="1"/>
  <c r="C6" i="8"/>
  <c r="C11" i="8" s="1"/>
  <c r="C13" i="8" s="1"/>
  <c r="C15" i="8" s="1"/>
  <c r="E5" i="8"/>
  <c r="D5" i="8"/>
  <c r="C5" i="8"/>
  <c r="E4" i="8"/>
  <c r="D22" i="24" s="1"/>
  <c r="D4" i="8"/>
  <c r="C22" i="24" s="1"/>
  <c r="C4" i="8"/>
  <c r="B22" i="24" s="1"/>
  <c r="A86" i="6"/>
  <c r="K82" i="6"/>
  <c r="J82" i="6"/>
  <c r="I82" i="6"/>
  <c r="H82" i="6"/>
  <c r="G82" i="6"/>
  <c r="C82" i="6"/>
  <c r="B82" i="6"/>
  <c r="F80" i="6"/>
  <c r="E80" i="6"/>
  <c r="D80" i="6"/>
  <c r="C80" i="6"/>
  <c r="B80" i="6"/>
  <c r="F79" i="6"/>
  <c r="F82" i="6" s="1"/>
  <c r="E79" i="6"/>
  <c r="E82" i="6" s="1"/>
  <c r="D79" i="6"/>
  <c r="D82" i="6" s="1"/>
  <c r="G77" i="6"/>
  <c r="K76" i="6"/>
  <c r="J76" i="6"/>
  <c r="I76" i="6"/>
  <c r="H76" i="6"/>
  <c r="G76" i="6"/>
  <c r="F76" i="6"/>
  <c r="E76" i="6"/>
  <c r="D76" i="6"/>
  <c r="C76" i="6"/>
  <c r="B76" i="6"/>
  <c r="A70" i="6"/>
  <c r="F69" i="6"/>
  <c r="F85" i="6" s="1"/>
  <c r="E69" i="6"/>
  <c r="E85" i="6" s="1"/>
  <c r="D69" i="6"/>
  <c r="D85" i="6" s="1"/>
  <c r="C69" i="6"/>
  <c r="C85" i="6" s="1"/>
  <c r="B69" i="6"/>
  <c r="B85" i="6" s="1"/>
  <c r="I66" i="6"/>
  <c r="H66" i="6"/>
  <c r="G66" i="6"/>
  <c r="F66" i="6"/>
  <c r="E66" i="6"/>
  <c r="D65" i="6"/>
  <c r="C65" i="6"/>
  <c r="B65" i="6"/>
  <c r="B66" i="6" s="1"/>
  <c r="A65" i="6"/>
  <c r="D63" i="6"/>
  <c r="D64" i="6" s="1"/>
  <c r="C63" i="6"/>
  <c r="C64" i="6" s="1"/>
  <c r="B63" i="6"/>
  <c r="F56" i="6"/>
  <c r="E56" i="6"/>
  <c r="D56" i="6"/>
  <c r="C56" i="6"/>
  <c r="B56" i="6"/>
  <c r="A56" i="6"/>
  <c r="A55" i="6"/>
  <c r="F51" i="6"/>
  <c r="F52" i="6" s="1"/>
  <c r="G52" i="6" s="1"/>
  <c r="H52" i="6" s="1"/>
  <c r="I52" i="6" s="1"/>
  <c r="J52" i="6" s="1"/>
  <c r="K52" i="6" s="1"/>
  <c r="E51" i="6"/>
  <c r="E52" i="6" s="1"/>
  <c r="D51" i="6"/>
  <c r="D52" i="6" s="1"/>
  <c r="C51" i="6"/>
  <c r="C52" i="6" s="1"/>
  <c r="A51" i="6"/>
  <c r="K47" i="6"/>
  <c r="J47" i="6"/>
  <c r="I47" i="6"/>
  <c r="H47" i="6"/>
  <c r="G47" i="6"/>
  <c r="K44" i="6"/>
  <c r="J44" i="6"/>
  <c r="I44" i="6"/>
  <c r="H44" i="6"/>
  <c r="G44" i="6"/>
  <c r="F39" i="6"/>
  <c r="E39" i="6"/>
  <c r="D39" i="6"/>
  <c r="C39" i="6"/>
  <c r="B39" i="6"/>
  <c r="F38" i="6"/>
  <c r="E38" i="6"/>
  <c r="D38" i="6"/>
  <c r="C38" i="6"/>
  <c r="B38" i="6"/>
  <c r="F33" i="6"/>
  <c r="E33" i="6"/>
  <c r="D33" i="6"/>
  <c r="C33" i="6"/>
  <c r="G29" i="6"/>
  <c r="H29" i="6" s="1"/>
  <c r="I29" i="6" s="1"/>
  <c r="J29" i="6" s="1"/>
  <c r="K29" i="6" s="1"/>
  <c r="G28" i="6"/>
  <c r="H28" i="6" s="1"/>
  <c r="I28" i="6" s="1"/>
  <c r="J28" i="6" s="1"/>
  <c r="K28" i="6" s="1"/>
  <c r="G25" i="6"/>
  <c r="F23" i="6"/>
  <c r="G23" i="6" s="1"/>
  <c r="E23" i="6"/>
  <c r="D23" i="6"/>
  <c r="C23" i="6"/>
  <c r="B23" i="6"/>
  <c r="F19" i="6"/>
  <c r="F55" i="6" s="1"/>
  <c r="F57" i="6" s="1"/>
  <c r="E19" i="6"/>
  <c r="E55" i="6" s="1"/>
  <c r="E57" i="6" s="1"/>
  <c r="D19" i="6"/>
  <c r="D55" i="6" s="1"/>
  <c r="D57" i="6" s="1"/>
  <c r="C19" i="6"/>
  <c r="C55" i="6" s="1"/>
  <c r="C57" i="6" s="1"/>
  <c r="B19" i="6"/>
  <c r="B55" i="6" s="1"/>
  <c r="B57" i="6" s="1"/>
  <c r="G57" i="6" s="1"/>
  <c r="K16" i="6"/>
  <c r="J16" i="6"/>
  <c r="I16" i="6"/>
  <c r="H16" i="6"/>
  <c r="G16" i="6"/>
  <c r="K15" i="6"/>
  <c r="J15" i="6"/>
  <c r="K14" i="6"/>
  <c r="J14" i="6"/>
  <c r="I14" i="6"/>
  <c r="H14" i="6"/>
  <c r="G14" i="6"/>
  <c r="F12" i="6"/>
  <c r="G12" i="6" s="1"/>
  <c r="H12" i="6" s="1"/>
  <c r="I12" i="6" s="1"/>
  <c r="J12" i="6" s="1"/>
  <c r="K12" i="6" s="1"/>
  <c r="E12" i="6"/>
  <c r="D12" i="6"/>
  <c r="C12" i="6"/>
  <c r="B12" i="6"/>
  <c r="G10" i="6"/>
  <c r="H10" i="6" s="1"/>
  <c r="I10" i="6" s="1"/>
  <c r="J10" i="6" s="1"/>
  <c r="K10" i="6" s="1"/>
  <c r="G9" i="6"/>
  <c r="H9" i="6" s="1"/>
  <c r="I9" i="6" s="1"/>
  <c r="J9" i="6" s="1"/>
  <c r="K9" i="6" s="1"/>
  <c r="F8" i="6"/>
  <c r="E8" i="6"/>
  <c r="D8" i="6"/>
  <c r="C8" i="6"/>
  <c r="B8" i="6"/>
  <c r="B13" i="6" s="1"/>
  <c r="B33" i="6" s="1"/>
  <c r="D94" i="5"/>
  <c r="C94" i="5"/>
  <c r="B94" i="5"/>
  <c r="L93" i="5"/>
  <c r="K93" i="5"/>
  <c r="J93" i="5"/>
  <c r="I93" i="5"/>
  <c r="H93" i="5"/>
  <c r="D86" i="5"/>
  <c r="C86" i="5"/>
  <c r="B86" i="5"/>
  <c r="G84" i="5"/>
  <c r="F84" i="5"/>
  <c r="D83" i="5"/>
  <c r="C83" i="5"/>
  <c r="B83" i="5"/>
  <c r="B90" i="5" s="1"/>
  <c r="A72" i="5"/>
  <c r="A50" i="6" s="1"/>
  <c r="K71" i="5"/>
  <c r="J71" i="5"/>
  <c r="I71" i="5"/>
  <c r="H71" i="5"/>
  <c r="F71" i="5"/>
  <c r="E71" i="5"/>
  <c r="D71" i="5"/>
  <c r="C71" i="5"/>
  <c r="B71" i="5"/>
  <c r="F70" i="5"/>
  <c r="F72" i="5" s="1"/>
  <c r="F50" i="6" s="1"/>
  <c r="E70" i="5"/>
  <c r="E72" i="5" s="1"/>
  <c r="E50" i="6" s="1"/>
  <c r="D70" i="5"/>
  <c r="D72" i="5" s="1"/>
  <c r="D50" i="6" s="1"/>
  <c r="C70" i="5"/>
  <c r="C72" i="5" s="1"/>
  <c r="C50" i="6" s="1"/>
  <c r="B70" i="5"/>
  <c r="B72" i="5" s="1"/>
  <c r="B50" i="6" s="1"/>
  <c r="B52" i="6" s="1"/>
  <c r="B63" i="5"/>
  <c r="G71" i="5" s="1"/>
  <c r="Y61" i="5"/>
  <c r="F58" i="5"/>
  <c r="E58" i="5"/>
  <c r="D58" i="5"/>
  <c r="C58" i="5"/>
  <c r="B58" i="5"/>
  <c r="K57" i="5"/>
  <c r="J57" i="5"/>
  <c r="I57" i="5"/>
  <c r="H57" i="5"/>
  <c r="G57" i="5"/>
  <c r="K55" i="5"/>
  <c r="J55" i="5"/>
  <c r="I55" i="5"/>
  <c r="H55" i="5"/>
  <c r="G55" i="5"/>
  <c r="F53" i="5"/>
  <c r="E53" i="5"/>
  <c r="D53" i="5"/>
  <c r="C53" i="5"/>
  <c r="B53" i="5"/>
  <c r="F52" i="5"/>
  <c r="E52" i="5"/>
  <c r="D52" i="5"/>
  <c r="C52" i="5"/>
  <c r="B52" i="5"/>
  <c r="F46" i="5"/>
  <c r="E46" i="5"/>
  <c r="D46" i="5"/>
  <c r="C46" i="5"/>
  <c r="B46" i="5"/>
  <c r="F45" i="5"/>
  <c r="E45" i="5"/>
  <c r="D45" i="5"/>
  <c r="C45" i="5"/>
  <c r="B45" i="5"/>
  <c r="F35" i="5"/>
  <c r="F36" i="5" s="1"/>
  <c r="E35" i="5"/>
  <c r="E36" i="5" s="1"/>
  <c r="D35" i="5"/>
  <c r="D36" i="5" s="1"/>
  <c r="C35" i="5"/>
  <c r="C36" i="5" s="1"/>
  <c r="B35" i="5"/>
  <c r="F30" i="5"/>
  <c r="E30" i="5"/>
  <c r="D30" i="5"/>
  <c r="C30" i="5"/>
  <c r="R29" i="5"/>
  <c r="Q29" i="5"/>
  <c r="P29" i="5"/>
  <c r="O29" i="5"/>
  <c r="N29" i="5"/>
  <c r="G29" i="5"/>
  <c r="H29" i="5" s="1"/>
  <c r="I29" i="5" s="1"/>
  <c r="J29" i="5" s="1"/>
  <c r="K29" i="5" s="1"/>
  <c r="R28" i="5"/>
  <c r="Q28" i="5"/>
  <c r="P28" i="5"/>
  <c r="O28" i="5"/>
  <c r="N28" i="5"/>
  <c r="R27" i="5"/>
  <c r="Q27" i="5"/>
  <c r="P27" i="5"/>
  <c r="O27" i="5"/>
  <c r="N27" i="5"/>
  <c r="R26" i="5"/>
  <c r="Q26" i="5"/>
  <c r="P26" i="5"/>
  <c r="O26" i="5"/>
  <c r="N26" i="5"/>
  <c r="R25" i="5"/>
  <c r="Q25" i="5"/>
  <c r="P25" i="5"/>
  <c r="O25" i="5"/>
  <c r="N25" i="5"/>
  <c r="F24" i="5"/>
  <c r="E24" i="5"/>
  <c r="D24" i="5"/>
  <c r="C24" i="5"/>
  <c r="G23" i="5"/>
  <c r="H23" i="5" s="1"/>
  <c r="I23" i="5" s="1"/>
  <c r="J23" i="5" s="1"/>
  <c r="K23" i="5" s="1"/>
  <c r="F18" i="5"/>
  <c r="E18" i="5"/>
  <c r="D18" i="5"/>
  <c r="C18" i="5"/>
  <c r="G17" i="5"/>
  <c r="H17" i="5" s="1"/>
  <c r="I17" i="5" s="1"/>
  <c r="J17" i="5" s="1"/>
  <c r="K17" i="5" s="1"/>
  <c r="T15" i="5"/>
  <c r="S15" i="5"/>
  <c r="R15" i="5"/>
  <c r="Q15" i="5"/>
  <c r="P15" i="5"/>
  <c r="O15" i="5"/>
  <c r="F12" i="5"/>
  <c r="E12" i="5"/>
  <c r="D12" i="5"/>
  <c r="C12" i="5"/>
  <c r="G11" i="5"/>
  <c r="H11" i="5" s="1"/>
  <c r="I11" i="5" s="1"/>
  <c r="J11" i="5" s="1"/>
  <c r="K11" i="5" s="1"/>
  <c r="T10" i="5"/>
  <c r="S10" i="5"/>
  <c r="R10" i="5"/>
  <c r="Q10" i="5"/>
  <c r="P10" i="5"/>
  <c r="O10" i="5"/>
  <c r="G7" i="5"/>
  <c r="F6" i="5"/>
  <c r="E6" i="5"/>
  <c r="D6" i="5"/>
  <c r="C6" i="5"/>
  <c r="T5" i="5"/>
  <c r="U6" i="5" s="1"/>
  <c r="S5" i="5"/>
  <c r="R5" i="5"/>
  <c r="Q5" i="5"/>
  <c r="P5" i="5"/>
  <c r="O5" i="5"/>
  <c r="G5" i="5"/>
  <c r="D96" i="4"/>
  <c r="C96" i="4"/>
  <c r="B96" i="4"/>
  <c r="D93" i="4"/>
  <c r="C93" i="4"/>
  <c r="B93" i="4"/>
  <c r="D92" i="4"/>
  <c r="C92" i="4"/>
  <c r="B92" i="4"/>
  <c r="D89" i="4"/>
  <c r="C89" i="4"/>
  <c r="B89" i="4"/>
  <c r="D88" i="4"/>
  <c r="C88" i="4"/>
  <c r="B88" i="4"/>
  <c r="D87" i="4"/>
  <c r="C87" i="4"/>
  <c r="B87" i="4"/>
  <c r="D79" i="4"/>
  <c r="D95" i="4" s="1"/>
  <c r="C79" i="4"/>
  <c r="C95" i="4" s="1"/>
  <c r="B79" i="4"/>
  <c r="A79" i="4"/>
  <c r="K71" i="4"/>
  <c r="D70" i="4"/>
  <c r="D78" i="4" s="1"/>
  <c r="C70" i="4"/>
  <c r="C78" i="4" s="1"/>
  <c r="B70" i="4"/>
  <c r="B78" i="4" s="1"/>
  <c r="D67" i="4"/>
  <c r="D69" i="4" s="1"/>
  <c r="D71" i="4" s="1"/>
  <c r="C67" i="4"/>
  <c r="C69" i="4" s="1"/>
  <c r="C71" i="4" s="1"/>
  <c r="B67" i="4"/>
  <c r="B69" i="4" s="1"/>
  <c r="B71" i="4" s="1"/>
  <c r="B73" i="4" s="1"/>
  <c r="D59" i="4"/>
  <c r="C59" i="4"/>
  <c r="B59" i="4"/>
  <c r="D51" i="4"/>
  <c r="C51" i="4"/>
  <c r="B51" i="4"/>
  <c r="G50" i="4"/>
  <c r="H19" i="17" s="1"/>
  <c r="H26" i="17" s="1"/>
  <c r="H25" i="17" s="1"/>
  <c r="F50" i="4"/>
  <c r="G19" i="17" s="1"/>
  <c r="G26" i="17" s="1"/>
  <c r="G25" i="17" s="1"/>
  <c r="E50" i="4"/>
  <c r="F19" i="17" s="1"/>
  <c r="F26" i="17" s="1"/>
  <c r="F25" i="17" s="1"/>
  <c r="G49" i="4"/>
  <c r="G51" i="4" s="1"/>
  <c r="F49" i="4"/>
  <c r="F51" i="4" s="1"/>
  <c r="E49" i="4"/>
  <c r="E51" i="4" s="1"/>
  <c r="L45" i="4"/>
  <c r="K45" i="4"/>
  <c r="J45" i="4"/>
  <c r="L44" i="4"/>
  <c r="D102" i="12" s="1"/>
  <c r="K44" i="4"/>
  <c r="C102" i="12" s="1"/>
  <c r="J44" i="4"/>
  <c r="B102" i="12" s="1"/>
  <c r="L43" i="4"/>
  <c r="D101" i="12" s="1"/>
  <c r="K43" i="4"/>
  <c r="C101" i="12" s="1"/>
  <c r="J43" i="4"/>
  <c r="B101" i="12" s="1"/>
  <c r="L42" i="4"/>
  <c r="K42" i="4"/>
  <c r="J42" i="4"/>
  <c r="L41" i="4"/>
  <c r="D99" i="12" s="1"/>
  <c r="K41" i="4"/>
  <c r="C99" i="12" s="1"/>
  <c r="J41" i="4"/>
  <c r="B99" i="12" s="1"/>
  <c r="L40" i="4"/>
  <c r="D98" i="12" s="1"/>
  <c r="K40" i="4"/>
  <c r="C98" i="12" s="1"/>
  <c r="J40" i="4"/>
  <c r="B98" i="12" s="1"/>
  <c r="L39" i="4"/>
  <c r="D97" i="12" s="1"/>
  <c r="K39" i="4"/>
  <c r="C97" i="12" s="1"/>
  <c r="J39" i="4"/>
  <c r="B97" i="12" s="1"/>
  <c r="L38" i="4"/>
  <c r="D96" i="12" s="1"/>
  <c r="K38" i="4"/>
  <c r="C96" i="12" s="1"/>
  <c r="J38" i="4"/>
  <c r="B96" i="12" s="1"/>
  <c r="L37" i="4"/>
  <c r="D95" i="12" s="1"/>
  <c r="K37" i="4"/>
  <c r="C95" i="12" s="1"/>
  <c r="J37" i="4"/>
  <c r="B95" i="12" s="1"/>
  <c r="L36" i="4"/>
  <c r="D94" i="12" s="1"/>
  <c r="K36" i="4"/>
  <c r="C94" i="12" s="1"/>
  <c r="J36" i="4"/>
  <c r="B94" i="12" s="1"/>
  <c r="L35" i="4"/>
  <c r="D93" i="12" s="1"/>
  <c r="K35" i="4"/>
  <c r="C93" i="12" s="1"/>
  <c r="J35" i="4"/>
  <c r="B93" i="12" s="1"/>
  <c r="L34" i="4"/>
  <c r="D92" i="12" s="1"/>
  <c r="K34" i="4"/>
  <c r="C92" i="12" s="1"/>
  <c r="J34" i="4"/>
  <c r="B92" i="12" s="1"/>
  <c r="L33" i="4"/>
  <c r="D91" i="12" s="1"/>
  <c r="K33" i="4"/>
  <c r="C91" i="12" s="1"/>
  <c r="J33" i="4"/>
  <c r="B91" i="12" s="1"/>
  <c r="L32" i="4"/>
  <c r="D90" i="12" s="1"/>
  <c r="K32" i="4"/>
  <c r="C90" i="12" s="1"/>
  <c r="J32" i="4"/>
  <c r="B90" i="12" s="1"/>
  <c r="L31" i="4"/>
  <c r="D89" i="12" s="1"/>
  <c r="K31" i="4"/>
  <c r="C89" i="12" s="1"/>
  <c r="J31" i="4"/>
  <c r="B89" i="12" s="1"/>
  <c r="L30" i="4"/>
  <c r="K30" i="4"/>
  <c r="J30" i="4"/>
  <c r="L29" i="4"/>
  <c r="K29" i="4"/>
  <c r="J29" i="4"/>
  <c r="L28" i="4"/>
  <c r="K28" i="4"/>
  <c r="J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L22" i="4"/>
  <c r="K22" i="4"/>
  <c r="J22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K11" i="4"/>
  <c r="J11" i="4"/>
  <c r="L10" i="4"/>
  <c r="K10" i="4"/>
  <c r="J10" i="4"/>
  <c r="L9" i="4"/>
  <c r="K9" i="4"/>
  <c r="J9" i="4"/>
  <c r="L8" i="4"/>
  <c r="K8" i="4"/>
  <c r="J8" i="4"/>
  <c r="L7" i="4"/>
  <c r="K7" i="4"/>
  <c r="J7" i="4"/>
  <c r="L6" i="4"/>
  <c r="K6" i="4"/>
  <c r="J6" i="4"/>
  <c r="L5" i="4"/>
  <c r="K5" i="4"/>
  <c r="J5" i="4"/>
  <c r="L4" i="4"/>
  <c r="K4" i="4"/>
  <c r="J4" i="4"/>
  <c r="F40" i="3"/>
  <c r="E40" i="3"/>
  <c r="D40" i="3"/>
  <c r="C40" i="3"/>
  <c r="B40" i="3"/>
  <c r="O37" i="3"/>
  <c r="N37" i="3"/>
  <c r="M37" i="3"/>
  <c r="L37" i="3"/>
  <c r="K37" i="3"/>
  <c r="O36" i="3"/>
  <c r="N36" i="3"/>
  <c r="C35" i="12" s="1"/>
  <c r="M36" i="3"/>
  <c r="L36" i="3"/>
  <c r="K36" i="3"/>
  <c r="O35" i="3"/>
  <c r="N35" i="3"/>
  <c r="M35" i="3"/>
  <c r="L35" i="3"/>
  <c r="K35" i="3"/>
  <c r="O34" i="3"/>
  <c r="N34" i="3"/>
  <c r="M34" i="3"/>
  <c r="L34" i="3"/>
  <c r="K34" i="3"/>
  <c r="O33" i="3"/>
  <c r="N33" i="3"/>
  <c r="M33" i="3"/>
  <c r="L33" i="3"/>
  <c r="K33" i="3"/>
  <c r="O32" i="3"/>
  <c r="N32" i="3"/>
  <c r="M32" i="3"/>
  <c r="L32" i="3"/>
  <c r="K32" i="3"/>
  <c r="O31" i="3"/>
  <c r="N31" i="3"/>
  <c r="M31" i="3"/>
  <c r="L31" i="3"/>
  <c r="K31" i="3"/>
  <c r="O30" i="3"/>
  <c r="N30" i="3"/>
  <c r="M30" i="3"/>
  <c r="L30" i="3"/>
  <c r="K30" i="3"/>
  <c r="O29" i="3"/>
  <c r="N29" i="3"/>
  <c r="M29" i="3"/>
  <c r="L29" i="3"/>
  <c r="K29" i="3"/>
  <c r="O28" i="3"/>
  <c r="N28" i="3"/>
  <c r="M28" i="3"/>
  <c r="L28" i="3"/>
  <c r="K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O24" i="3"/>
  <c r="N24" i="3"/>
  <c r="M24" i="3"/>
  <c r="L24" i="3"/>
  <c r="K24" i="3"/>
  <c r="O23" i="3"/>
  <c r="N23" i="3"/>
  <c r="M23" i="3"/>
  <c r="L23" i="3"/>
  <c r="K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O19" i="3"/>
  <c r="N19" i="3"/>
  <c r="M19" i="3"/>
  <c r="L19" i="3"/>
  <c r="K19" i="3"/>
  <c r="O18" i="3"/>
  <c r="N18" i="3"/>
  <c r="M18" i="3"/>
  <c r="L18" i="3"/>
  <c r="K18" i="3"/>
  <c r="O17" i="3"/>
  <c r="N17" i="3"/>
  <c r="M17" i="3"/>
  <c r="L17" i="3"/>
  <c r="K17" i="3"/>
  <c r="O16" i="3"/>
  <c r="N16" i="3"/>
  <c r="M16" i="3"/>
  <c r="L16" i="3"/>
  <c r="K16" i="3"/>
  <c r="O15" i="3"/>
  <c r="N15" i="3"/>
  <c r="M15" i="3"/>
  <c r="L15" i="3"/>
  <c r="K15" i="3"/>
  <c r="O14" i="3"/>
  <c r="N14" i="3"/>
  <c r="M14" i="3"/>
  <c r="L14" i="3"/>
  <c r="K14" i="3"/>
  <c r="O13" i="3"/>
  <c r="N13" i="3"/>
  <c r="M13" i="3"/>
  <c r="L13" i="3"/>
  <c r="K13" i="3"/>
  <c r="O12" i="3"/>
  <c r="N12" i="3"/>
  <c r="M12" i="3"/>
  <c r="L12" i="3"/>
  <c r="K12" i="3"/>
  <c r="O11" i="3"/>
  <c r="N11" i="3"/>
  <c r="M11" i="3"/>
  <c r="L11" i="3"/>
  <c r="K11" i="3"/>
  <c r="O10" i="3"/>
  <c r="N10" i="3"/>
  <c r="M10" i="3"/>
  <c r="L10" i="3"/>
  <c r="K10" i="3"/>
  <c r="O9" i="3"/>
  <c r="N9" i="3"/>
  <c r="M9" i="3"/>
  <c r="L9" i="3"/>
  <c r="K9" i="3"/>
  <c r="O8" i="3"/>
  <c r="N8" i="3"/>
  <c r="M8" i="3"/>
  <c r="L8" i="3"/>
  <c r="K8" i="3"/>
  <c r="O7" i="3"/>
  <c r="N7" i="3"/>
  <c r="M7" i="3"/>
  <c r="L7" i="3"/>
  <c r="K7" i="3"/>
  <c r="O6" i="3"/>
  <c r="N6" i="3"/>
  <c r="M6" i="3"/>
  <c r="L6" i="3"/>
  <c r="K6" i="3"/>
  <c r="O5" i="3"/>
  <c r="N5" i="3"/>
  <c r="M5" i="3"/>
  <c r="L5" i="3"/>
  <c r="K5" i="3"/>
  <c r="O4" i="3"/>
  <c r="N4" i="3"/>
  <c r="M4" i="3"/>
  <c r="L4" i="3"/>
  <c r="K4" i="3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P22" i="2"/>
  <c r="O22" i="2"/>
  <c r="N22" i="2"/>
  <c r="M22" i="2"/>
  <c r="L22" i="2"/>
  <c r="K22" i="2"/>
  <c r="P21" i="2"/>
  <c r="O21" i="2"/>
  <c r="N21" i="2"/>
  <c r="M21" i="2"/>
  <c r="L21" i="2"/>
  <c r="K21" i="2"/>
  <c r="P20" i="2"/>
  <c r="O20" i="2"/>
  <c r="N20" i="2"/>
  <c r="M20" i="2"/>
  <c r="L20" i="2"/>
  <c r="K20" i="2"/>
  <c r="P19" i="2"/>
  <c r="O19" i="2"/>
  <c r="N19" i="2"/>
  <c r="P18" i="2"/>
  <c r="O18" i="2"/>
  <c r="N18" i="2"/>
  <c r="M18" i="2"/>
  <c r="L18" i="2"/>
  <c r="K18" i="2"/>
  <c r="D18" i="2"/>
  <c r="M19" i="2" s="1"/>
  <c r="C18" i="2"/>
  <c r="L19" i="2" s="1"/>
  <c r="B18" i="2"/>
  <c r="K19" i="2" s="1"/>
  <c r="P17" i="2"/>
  <c r="O17" i="2"/>
  <c r="N17" i="2"/>
  <c r="M17" i="2"/>
  <c r="L17" i="2"/>
  <c r="K17" i="2"/>
  <c r="P16" i="2"/>
  <c r="O16" i="2"/>
  <c r="N16" i="2"/>
  <c r="M16" i="2"/>
  <c r="L16" i="2"/>
  <c r="K16" i="2"/>
  <c r="J15" i="2"/>
  <c r="M14" i="2"/>
  <c r="L14" i="2"/>
  <c r="K14" i="2"/>
  <c r="J14" i="2"/>
  <c r="P13" i="2"/>
  <c r="O13" i="2"/>
  <c r="N13" i="2"/>
  <c r="G13" i="2"/>
  <c r="F13" i="2"/>
  <c r="E13" i="2"/>
  <c r="P12" i="2"/>
  <c r="O12" i="2"/>
  <c r="N12" i="2"/>
  <c r="M12" i="2"/>
  <c r="L12" i="2"/>
  <c r="K12" i="2"/>
  <c r="P11" i="2"/>
  <c r="O11" i="2"/>
  <c r="N11" i="2"/>
  <c r="M11" i="2"/>
  <c r="L11" i="2"/>
  <c r="K11" i="2"/>
  <c r="P10" i="2"/>
  <c r="O10" i="2"/>
  <c r="N10" i="2"/>
  <c r="M10" i="2"/>
  <c r="L10" i="2"/>
  <c r="K10" i="2"/>
  <c r="P9" i="2"/>
  <c r="O9" i="2"/>
  <c r="N9" i="2"/>
  <c r="D8" i="2"/>
  <c r="C8" i="2"/>
  <c r="B8" i="2"/>
  <c r="P7" i="2"/>
  <c r="O7" i="2"/>
  <c r="N7" i="2"/>
  <c r="G6" i="2"/>
  <c r="F6" i="2"/>
  <c r="P5" i="2"/>
  <c r="O5" i="2"/>
  <c r="N5" i="2"/>
  <c r="M5" i="2"/>
  <c r="L5" i="2"/>
  <c r="K5" i="2"/>
  <c r="D5" i="2"/>
  <c r="C5" i="2"/>
  <c r="B5" i="2"/>
  <c r="P4" i="2"/>
  <c r="O4" i="2"/>
  <c r="N4" i="2"/>
  <c r="B43" i="1"/>
  <c r="B21" i="1"/>
  <c r="B19" i="1"/>
  <c r="B7" i="1"/>
  <c r="B6" i="1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A29" i="16"/>
  <c r="A27" i="16"/>
  <c r="D26" i="16"/>
  <c r="C26" i="16"/>
  <c r="A26" i="16"/>
  <c r="B8" i="16"/>
  <c r="N18" i="22" l="1"/>
  <c r="N14" i="22"/>
  <c r="N15" i="22"/>
  <c r="N13" i="22"/>
  <c r="N16" i="22"/>
  <c r="N21" i="22" s="1"/>
  <c r="N23" i="22" s="1"/>
  <c r="N25" i="22" s="1"/>
  <c r="N17" i="22"/>
  <c r="M18" i="22"/>
  <c r="M14" i="22"/>
  <c r="M15" i="22"/>
  <c r="M16" i="22"/>
  <c r="M21" i="22" s="1"/>
  <c r="M23" i="22" s="1"/>
  <c r="M25" i="22" s="1"/>
  <c r="M26" i="22" s="1"/>
  <c r="M13" i="22"/>
  <c r="O14" i="22"/>
  <c r="O15" i="22"/>
  <c r="O16" i="22"/>
  <c r="O23" i="22" s="1"/>
  <c r="O13" i="22"/>
  <c r="O17" i="22"/>
  <c r="O18" i="22"/>
  <c r="B48" i="1"/>
  <c r="F15" i="20"/>
  <c r="B13" i="1" s="1"/>
  <c r="B12" i="1"/>
  <c r="F9" i="20"/>
  <c r="B8" i="1"/>
  <c r="I9" i="18"/>
  <c r="I11" i="18" s="1"/>
  <c r="H92" i="5" s="1"/>
  <c r="I8" i="18"/>
  <c r="H9" i="18"/>
  <c r="H13" i="18" s="1"/>
  <c r="P8" i="20" s="1"/>
  <c r="H7" i="18"/>
  <c r="G9" i="18"/>
  <c r="G13" i="18" s="1"/>
  <c r="G7" i="18"/>
  <c r="F9" i="18"/>
  <c r="F13" i="18" s="1"/>
  <c r="F7" i="18"/>
  <c r="E9" i="18"/>
  <c r="E13" i="18" s="1"/>
  <c r="E7" i="18"/>
  <c r="D9" i="18"/>
  <c r="D13" i="18" s="1"/>
  <c r="D7" i="18"/>
  <c r="D13" i="17"/>
  <c r="D17" i="17"/>
  <c r="N12" i="13"/>
  <c r="E13" i="17"/>
  <c r="E14" i="17" s="1"/>
  <c r="E17" i="17"/>
  <c r="O12" i="13"/>
  <c r="H11" i="17"/>
  <c r="H12" i="17" s="1"/>
  <c r="H7" i="17"/>
  <c r="G27" i="16" s="1"/>
  <c r="G26" i="16"/>
  <c r="B11" i="16" s="1"/>
  <c r="C11" i="16" s="1"/>
  <c r="D11" i="16" s="1"/>
  <c r="E11" i="16" s="1"/>
  <c r="G11" i="17"/>
  <c r="G12" i="17" s="1"/>
  <c r="F26" i="16"/>
  <c r="B10" i="16" s="1"/>
  <c r="C10" i="16" s="1"/>
  <c r="D10" i="16" s="1"/>
  <c r="E10" i="16" s="1"/>
  <c r="G7" i="17"/>
  <c r="F27" i="16" s="1"/>
  <c r="F7" i="17"/>
  <c r="E27" i="16" s="1"/>
  <c r="F11" i="17"/>
  <c r="F12" i="17" s="1"/>
  <c r="E26" i="16"/>
  <c r="B9" i="16" s="1"/>
  <c r="B26" i="16"/>
  <c r="C7" i="17"/>
  <c r="B27" i="16" s="1"/>
  <c r="H30" i="14"/>
  <c r="G29" i="14"/>
  <c r="F34" i="14"/>
  <c r="G22" i="14"/>
  <c r="F19" i="14"/>
  <c r="E18" i="8" s="1"/>
  <c r="E20" i="8" s="1"/>
  <c r="G5" i="9" s="1"/>
  <c r="E19" i="8"/>
  <c r="E19" i="14"/>
  <c r="D18" i="8" s="1"/>
  <c r="D20" i="8" s="1"/>
  <c r="F5" i="9" s="1"/>
  <c r="D19" i="8"/>
  <c r="D19" i="14"/>
  <c r="C18" i="8" s="1"/>
  <c r="C20" i="8" s="1"/>
  <c r="E5" i="9" s="1"/>
  <c r="C19" i="8"/>
  <c r="B50" i="1"/>
  <c r="C48" i="9"/>
  <c r="C18" i="9"/>
  <c r="B32" i="24" s="1"/>
  <c r="L13" i="9"/>
  <c r="K13" i="9" s="1"/>
  <c r="J13" i="9" s="1"/>
  <c r="I13" i="9" s="1"/>
  <c r="N13" i="9"/>
  <c r="O13" i="9" s="1"/>
  <c r="P13" i="9" s="1"/>
  <c r="Q13" i="9" s="1"/>
  <c r="D66" i="6"/>
  <c r="D67" i="6"/>
  <c r="C67" i="6"/>
  <c r="C66" i="6"/>
  <c r="F40" i="6"/>
  <c r="E40" i="6"/>
  <c r="E45" i="6" s="1"/>
  <c r="E41" i="6"/>
  <c r="D40" i="6"/>
  <c r="C40" i="6"/>
  <c r="B40" i="6"/>
  <c r="H25" i="6"/>
  <c r="H23" i="6"/>
  <c r="E18" i="7"/>
  <c r="D90" i="5"/>
  <c r="E84" i="5"/>
  <c r="D84" i="5"/>
  <c r="C84" i="5"/>
  <c r="C90" i="5"/>
  <c r="F57" i="5"/>
  <c r="F55" i="5"/>
  <c r="E57" i="5"/>
  <c r="E55" i="5"/>
  <c r="E54" i="5"/>
  <c r="D54" i="5"/>
  <c r="D55" i="5"/>
  <c r="D57" i="5"/>
  <c r="C55" i="5"/>
  <c r="C57" i="5"/>
  <c r="C54" i="5"/>
  <c r="B55" i="5"/>
  <c r="B57" i="5"/>
  <c r="V6" i="5"/>
  <c r="U7" i="5"/>
  <c r="G35" i="5"/>
  <c r="H5" i="5"/>
  <c r="D94" i="4"/>
  <c r="D80" i="4"/>
  <c r="C80" i="4"/>
  <c r="C94" i="4"/>
  <c r="B80" i="4"/>
  <c r="B94" i="4"/>
  <c r="D73" i="4"/>
  <c r="D72" i="4"/>
  <c r="C72" i="4"/>
  <c r="C73" i="4"/>
  <c r="P14" i="2"/>
  <c r="G14" i="2"/>
  <c r="H31" i="13"/>
  <c r="O14" i="2"/>
  <c r="F14" i="2"/>
  <c r="G31" i="13"/>
  <c r="N14" i="2"/>
  <c r="F31" i="13"/>
  <c r="E14" i="2"/>
  <c r="M9" i="2"/>
  <c r="D46" i="12"/>
  <c r="L9" i="2"/>
  <c r="C46" i="12"/>
  <c r="K9" i="2"/>
  <c r="B46" i="12"/>
  <c r="M7" i="2"/>
  <c r="E6" i="2"/>
  <c r="D6" i="2"/>
  <c r="E5" i="13"/>
  <c r="F5" i="13"/>
  <c r="E11" i="13"/>
  <c r="D44" i="12"/>
  <c r="D12" i="2"/>
  <c r="L7" i="2"/>
  <c r="D5" i="13"/>
  <c r="D11" i="13"/>
  <c r="C44" i="12"/>
  <c r="C12" i="2"/>
  <c r="C6" i="2"/>
  <c r="K7" i="2"/>
  <c r="C11" i="13"/>
  <c r="B44" i="12"/>
  <c r="B12" i="2"/>
  <c r="C8" i="16"/>
  <c r="G23" i="17"/>
  <c r="G24" i="17" s="1"/>
  <c r="H23" i="17"/>
  <c r="H24" i="17" s="1"/>
  <c r="F23" i="17"/>
  <c r="F24" i="17" s="1"/>
  <c r="E23" i="17"/>
  <c r="E24" i="17" s="1"/>
  <c r="D23" i="17"/>
  <c r="D24" i="17" s="1"/>
  <c r="R17" i="13"/>
  <c r="Q17" i="13"/>
  <c r="P17" i="13"/>
  <c r="O17" i="13"/>
  <c r="N17" i="13"/>
  <c r="H57" i="6"/>
  <c r="D23" i="24"/>
  <c r="C23" i="24"/>
  <c r="B23" i="24"/>
  <c r="N26" i="22" l="1"/>
  <c r="O14" i="10"/>
  <c r="P14" i="10" s="1"/>
  <c r="O25" i="22"/>
  <c r="O21" i="22"/>
  <c r="G21" i="6"/>
  <c r="J6" i="18"/>
  <c r="P10" i="20"/>
  <c r="F16" i="20"/>
  <c r="B10" i="1" s="1"/>
  <c r="R12" i="13"/>
  <c r="H17" i="17"/>
  <c r="H13" i="17"/>
  <c r="H14" i="17" s="1"/>
  <c r="Q12" i="13"/>
  <c r="G17" i="17"/>
  <c r="G13" i="17"/>
  <c r="G14" i="17" s="1"/>
  <c r="P12" i="13"/>
  <c r="F17" i="17"/>
  <c r="F13" i="17"/>
  <c r="F14" i="17" s="1"/>
  <c r="I30" i="14"/>
  <c r="H29" i="14"/>
  <c r="H22" i="14"/>
  <c r="G21" i="14"/>
  <c r="G34" i="14" s="1"/>
  <c r="F43" i="6"/>
  <c r="I25" i="6"/>
  <c r="I23" i="6"/>
  <c r="F18" i="7"/>
  <c r="V7" i="5"/>
  <c r="W6" i="5"/>
  <c r="G36" i="5"/>
  <c r="H81" i="5"/>
  <c r="H35" i="5"/>
  <c r="I5" i="5"/>
  <c r="P15" i="2"/>
  <c r="H6" i="13"/>
  <c r="H13" i="13"/>
  <c r="O15" i="2"/>
  <c r="G6" i="13"/>
  <c r="G13" i="13"/>
  <c r="N15" i="2"/>
  <c r="F13" i="13"/>
  <c r="M13" i="2"/>
  <c r="D14" i="2"/>
  <c r="F6" i="13" s="1"/>
  <c r="D50" i="12"/>
  <c r="O2" i="13"/>
  <c r="O6" i="13"/>
  <c r="E7" i="13"/>
  <c r="F7" i="13"/>
  <c r="E12" i="13"/>
  <c r="E14" i="13"/>
  <c r="E26" i="13"/>
  <c r="E32" i="13"/>
  <c r="L13" i="2"/>
  <c r="C14" i="2"/>
  <c r="C50" i="12"/>
  <c r="N2" i="13"/>
  <c r="N6" i="13"/>
  <c r="D7" i="13"/>
  <c r="D12" i="13"/>
  <c r="D14" i="13"/>
  <c r="D26" i="13"/>
  <c r="D32" i="13"/>
  <c r="K13" i="2"/>
  <c r="B14" i="2"/>
  <c r="B50" i="12"/>
  <c r="M6" i="13"/>
  <c r="C12" i="13"/>
  <c r="C14" i="13"/>
  <c r="C26" i="13"/>
  <c r="C32" i="13"/>
  <c r="D81" i="4"/>
  <c r="C81" i="4"/>
  <c r="B9" i="1"/>
  <c r="F19" i="20"/>
  <c r="C9" i="16"/>
  <c r="F45" i="6"/>
  <c r="F41" i="6"/>
  <c r="G41" i="6" s="1"/>
  <c r="D45" i="6"/>
  <c r="D41" i="6"/>
  <c r="C45" i="6"/>
  <c r="C41" i="6"/>
  <c r="B45" i="6"/>
  <c r="C43" i="6" s="1"/>
  <c r="B41" i="6"/>
  <c r="I57" i="6"/>
  <c r="K57" i="6" s="1"/>
  <c r="J57" i="6"/>
  <c r="O26" i="22" l="1"/>
  <c r="M14" i="10"/>
  <c r="N14" i="10" s="1"/>
  <c r="J8" i="18"/>
  <c r="J9" i="18"/>
  <c r="J11" i="18" s="1"/>
  <c r="I92" i="5" s="1"/>
  <c r="J30" i="14"/>
  <c r="I29" i="14"/>
  <c r="I22" i="14"/>
  <c r="H21" i="14"/>
  <c r="H34" i="14" s="1"/>
  <c r="J25" i="6"/>
  <c r="J23" i="6"/>
  <c r="G18" i="7"/>
  <c r="W7" i="5"/>
  <c r="X6" i="5"/>
  <c r="H82" i="5"/>
  <c r="H83" i="5" s="1"/>
  <c r="E63" i="6"/>
  <c r="F4" i="8"/>
  <c r="G5" i="14"/>
  <c r="G9" i="14" s="1"/>
  <c r="I5" i="17"/>
  <c r="I6" i="17" s="1"/>
  <c r="H86" i="5"/>
  <c r="H87" i="5"/>
  <c r="F8" i="8" s="1"/>
  <c r="G52" i="5"/>
  <c r="H36" i="5"/>
  <c r="I81" i="5"/>
  <c r="J5" i="5"/>
  <c r="I35" i="5"/>
  <c r="M15" i="2"/>
  <c r="E6" i="13"/>
  <c r="E13" i="13"/>
  <c r="L15" i="2"/>
  <c r="D6" i="13"/>
  <c r="D13" i="13"/>
  <c r="K15" i="2"/>
  <c r="C13" i="13"/>
  <c r="B14" i="1"/>
  <c r="C14" i="9"/>
  <c r="D9" i="16"/>
  <c r="F44" i="6"/>
  <c r="G43" i="6"/>
  <c r="G45" i="6" s="1"/>
  <c r="H41" i="6"/>
  <c r="E43" i="6"/>
  <c r="E44" i="6" s="1"/>
  <c r="C44" i="6"/>
  <c r="D43" i="6"/>
  <c r="D44" i="6" s="1"/>
  <c r="H21" i="6" l="1"/>
  <c r="K6" i="18"/>
  <c r="K30" i="14"/>
  <c r="J29" i="14"/>
  <c r="J22" i="14"/>
  <c r="I21" i="14"/>
  <c r="I34" i="14" s="1"/>
  <c r="K25" i="6"/>
  <c r="K23" i="6"/>
  <c r="I18" i="7" s="1"/>
  <c r="H18" i="7"/>
  <c r="Y6" i="5"/>
  <c r="X7" i="5"/>
  <c r="G6" i="14"/>
  <c r="F5" i="8"/>
  <c r="H84" i="5"/>
  <c r="F6" i="8"/>
  <c r="E64" i="6"/>
  <c r="E65" i="6"/>
  <c r="E13" i="7"/>
  <c r="G4" i="6"/>
  <c r="I11" i="17"/>
  <c r="I12" i="17" s="1"/>
  <c r="I23" i="17"/>
  <c r="I25" i="17" s="1"/>
  <c r="I27" i="17" s="1"/>
  <c r="H26" i="16"/>
  <c r="B12" i="16" s="1"/>
  <c r="E25" i="7"/>
  <c r="H89" i="5"/>
  <c r="H90" i="5" s="1"/>
  <c r="H95" i="5" s="1"/>
  <c r="F7" i="8"/>
  <c r="G53" i="5"/>
  <c r="G58" i="5"/>
  <c r="H91" i="5" s="1"/>
  <c r="H94" i="5" s="1"/>
  <c r="I82" i="5"/>
  <c r="I83" i="5"/>
  <c r="F63" i="6"/>
  <c r="G4" i="8"/>
  <c r="H5" i="14"/>
  <c r="H9" i="14" s="1"/>
  <c r="J5" i="17"/>
  <c r="J6" i="17" s="1"/>
  <c r="I86" i="5"/>
  <c r="I87" i="5"/>
  <c r="G8" i="8" s="1"/>
  <c r="H52" i="5"/>
  <c r="K5" i="5"/>
  <c r="K35" i="5" s="1"/>
  <c r="J35" i="5"/>
  <c r="I36" i="5"/>
  <c r="J81" i="5"/>
  <c r="H18" i="9"/>
  <c r="B26" i="24"/>
  <c r="G40" i="6"/>
  <c r="H43" i="6"/>
  <c r="H45" i="6" s="1"/>
  <c r="I41" i="6"/>
  <c r="K8" i="18" l="1"/>
  <c r="K9" i="18"/>
  <c r="K11" i="18" s="1"/>
  <c r="J92" i="5" s="1"/>
  <c r="K29" i="14"/>
  <c r="K22" i="14"/>
  <c r="J21" i="14"/>
  <c r="J34" i="14" s="1"/>
  <c r="L82" i="5"/>
  <c r="Y7" i="5"/>
  <c r="G14" i="14"/>
  <c r="G10" i="14"/>
  <c r="G70" i="5"/>
  <c r="G72" i="5" s="1"/>
  <c r="E67" i="6"/>
  <c r="E6" i="7"/>
  <c r="G26" i="6"/>
  <c r="J10" i="17"/>
  <c r="J12" i="17" s="1"/>
  <c r="I17" i="17"/>
  <c r="J22" i="17"/>
  <c r="J25" i="17" s="1"/>
  <c r="J27" i="17" s="1"/>
  <c r="G11" i="6"/>
  <c r="B17" i="16"/>
  <c r="C12" i="16"/>
  <c r="E29" i="7"/>
  <c r="F17" i="8"/>
  <c r="F10" i="8"/>
  <c r="F11" i="8" s="1"/>
  <c r="G7" i="14"/>
  <c r="G15" i="14" s="1"/>
  <c r="E17" i="7" s="1"/>
  <c r="F54" i="5"/>
  <c r="G3" i="6"/>
  <c r="H6" i="14"/>
  <c r="G5" i="8"/>
  <c r="I84" i="5"/>
  <c r="G6" i="8"/>
  <c r="F64" i="6"/>
  <c r="F65" i="6"/>
  <c r="F13" i="7"/>
  <c r="H4" i="6"/>
  <c r="J11" i="17"/>
  <c r="J23" i="17"/>
  <c r="I26" i="16"/>
  <c r="C13" i="16" s="1"/>
  <c r="D13" i="16" s="1"/>
  <c r="E13" i="16" s="1"/>
  <c r="F13" i="16" s="1"/>
  <c r="F25" i="7"/>
  <c r="I89" i="5"/>
  <c r="I90" i="5" s="1"/>
  <c r="I95" i="5" s="1"/>
  <c r="G7" i="8"/>
  <c r="H53" i="5"/>
  <c r="G54" i="5" s="1"/>
  <c r="H58" i="5"/>
  <c r="I91" i="5" s="1"/>
  <c r="I94" i="5" s="1"/>
  <c r="K36" i="5"/>
  <c r="L81" i="5"/>
  <c r="J36" i="5"/>
  <c r="K81" i="5"/>
  <c r="J82" i="5"/>
  <c r="J83" i="5" s="1"/>
  <c r="G63" i="6"/>
  <c r="H4" i="8"/>
  <c r="I5" i="14"/>
  <c r="I9" i="14" s="1"/>
  <c r="K5" i="17"/>
  <c r="K6" i="17" s="1"/>
  <c r="J86" i="5"/>
  <c r="J87" i="5"/>
  <c r="H8" i="8" s="1"/>
  <c r="I52" i="5"/>
  <c r="H19" i="9"/>
  <c r="H20" i="9" s="1"/>
  <c r="H21" i="9" s="1"/>
  <c r="H22" i="9" s="1"/>
  <c r="H17" i="9"/>
  <c r="H16" i="9" s="1"/>
  <c r="H15" i="9" s="1"/>
  <c r="H14" i="9" s="1"/>
  <c r="G38" i="6"/>
  <c r="H40" i="6"/>
  <c r="I43" i="6"/>
  <c r="I45" i="6" s="1"/>
  <c r="J41" i="6"/>
  <c r="I21" i="6" l="1"/>
  <c r="L6" i="18"/>
  <c r="K9" i="14"/>
  <c r="K21" i="14"/>
  <c r="K34" i="14" s="1"/>
  <c r="J5" i="8"/>
  <c r="K6" i="14"/>
  <c r="E16" i="7"/>
  <c r="G16" i="14"/>
  <c r="G12" i="14"/>
  <c r="G18" i="14" s="1"/>
  <c r="G5" i="6"/>
  <c r="E14" i="7"/>
  <c r="G50" i="6"/>
  <c r="G51" i="6" s="1"/>
  <c r="G18" i="6" s="1"/>
  <c r="G20" i="6" s="1"/>
  <c r="G24" i="6" s="1"/>
  <c r="H96" i="5"/>
  <c r="H26" i="6"/>
  <c r="J17" i="17"/>
  <c r="K10" i="17"/>
  <c r="H11" i="6"/>
  <c r="K22" i="17"/>
  <c r="B19" i="16"/>
  <c r="E7" i="7" s="1"/>
  <c r="F12" i="8" s="1"/>
  <c r="I13" i="17"/>
  <c r="I15" i="17" s="1"/>
  <c r="G8" i="6" s="1"/>
  <c r="C17" i="16"/>
  <c r="D12" i="16"/>
  <c r="G11" i="14"/>
  <c r="G56" i="6"/>
  <c r="G55" i="6" s="1"/>
  <c r="G19" i="6" s="1"/>
  <c r="H14" i="14"/>
  <c r="H10" i="14"/>
  <c r="H70" i="5"/>
  <c r="H72" i="5" s="1"/>
  <c r="F67" i="6"/>
  <c r="F6" i="7"/>
  <c r="F29" i="7"/>
  <c r="G17" i="8"/>
  <c r="G10" i="8"/>
  <c r="G11" i="8" s="1"/>
  <c r="H7" i="14"/>
  <c r="H15" i="14" s="1"/>
  <c r="F17" i="7" s="1"/>
  <c r="H54" i="5"/>
  <c r="H3" i="6"/>
  <c r="L83" i="5"/>
  <c r="I63" i="6"/>
  <c r="J4" i="8"/>
  <c r="K5" i="14"/>
  <c r="M5" i="17"/>
  <c r="M6" i="17" s="1"/>
  <c r="L86" i="5"/>
  <c r="L87" i="5"/>
  <c r="J8" i="8" s="1"/>
  <c r="K52" i="5"/>
  <c r="K82" i="5"/>
  <c r="K83" i="5"/>
  <c r="H63" i="6"/>
  <c r="I4" i="8"/>
  <c r="J5" i="14"/>
  <c r="J9" i="14" s="1"/>
  <c r="L5" i="17"/>
  <c r="L6" i="17" s="1"/>
  <c r="K86" i="5"/>
  <c r="K87" i="5"/>
  <c r="I8" i="8" s="1"/>
  <c r="J52" i="5"/>
  <c r="I6" i="14"/>
  <c r="H5" i="8"/>
  <c r="J84" i="5"/>
  <c r="H6" i="8"/>
  <c r="J90" i="5"/>
  <c r="G64" i="6"/>
  <c r="G65" i="6"/>
  <c r="G13" i="7"/>
  <c r="I4" i="6"/>
  <c r="K11" i="17"/>
  <c r="K23" i="17"/>
  <c r="J26" i="16"/>
  <c r="D14" i="16" s="1"/>
  <c r="E14" i="16" s="1"/>
  <c r="F14" i="16" s="1"/>
  <c r="G25" i="7"/>
  <c r="J89" i="5"/>
  <c r="H7" i="8"/>
  <c r="I53" i="5"/>
  <c r="I58" i="5"/>
  <c r="J91" i="5" s="1"/>
  <c r="J94" i="5" s="1"/>
  <c r="H38" i="6"/>
  <c r="I40" i="6"/>
  <c r="J43" i="6"/>
  <c r="J45" i="6" s="1"/>
  <c r="K41" i="6"/>
  <c r="G17" i="6"/>
  <c r="G39" i="6"/>
  <c r="G22" i="6" s="1"/>
  <c r="L8" i="18" l="1"/>
  <c r="L9" i="18"/>
  <c r="L11" i="18" s="1"/>
  <c r="K92" i="5" s="1"/>
  <c r="K4" i="6"/>
  <c r="I13" i="7"/>
  <c r="K14" i="14"/>
  <c r="K10" i="14"/>
  <c r="F19" i="8"/>
  <c r="G19" i="14"/>
  <c r="F18" i="8" s="1"/>
  <c r="H97" i="5"/>
  <c r="F14" i="8"/>
  <c r="I26" i="6"/>
  <c r="F13" i="8"/>
  <c r="F15" i="8" s="1"/>
  <c r="F20" i="8" s="1"/>
  <c r="H5" i="9" s="1"/>
  <c r="H8" i="9" s="1"/>
  <c r="F16" i="8"/>
  <c r="C19" i="16"/>
  <c r="F7" i="7" s="1"/>
  <c r="G12" i="8" s="1"/>
  <c r="J13" i="17"/>
  <c r="J15" i="17" s="1"/>
  <c r="H8" i="6" s="1"/>
  <c r="D17" i="16"/>
  <c r="E12" i="16"/>
  <c r="G6" i="6"/>
  <c r="G7" i="6" s="1"/>
  <c r="G13" i="6" s="1"/>
  <c r="E15" i="7"/>
  <c r="F16" i="7"/>
  <c r="H16" i="14"/>
  <c r="H12" i="14"/>
  <c r="H18" i="14" s="1"/>
  <c r="H5" i="6"/>
  <c r="F14" i="7"/>
  <c r="H50" i="6"/>
  <c r="H51" i="6" s="1"/>
  <c r="H18" i="6" s="1"/>
  <c r="H20" i="6" s="1"/>
  <c r="I96" i="5"/>
  <c r="H11" i="14"/>
  <c r="H56" i="6"/>
  <c r="H55" i="6" s="1"/>
  <c r="H19" i="6" s="1"/>
  <c r="L84" i="5"/>
  <c r="J6" i="8"/>
  <c r="I64" i="6"/>
  <c r="I65" i="6"/>
  <c r="M11" i="17"/>
  <c r="M23" i="17"/>
  <c r="L26" i="16"/>
  <c r="F16" i="16" s="1"/>
  <c r="I25" i="7"/>
  <c r="L89" i="5"/>
  <c r="L90" i="5" s="1"/>
  <c r="J7" i="8"/>
  <c r="K53" i="5"/>
  <c r="K58" i="5"/>
  <c r="L91" i="5" s="1"/>
  <c r="J6" i="14"/>
  <c r="I5" i="8"/>
  <c r="K84" i="5"/>
  <c r="I6" i="8"/>
  <c r="K90" i="5"/>
  <c r="H64" i="6"/>
  <c r="H65" i="6"/>
  <c r="H13" i="7"/>
  <c r="J4" i="6"/>
  <c r="L11" i="17"/>
  <c r="L23" i="17"/>
  <c r="K26" i="16"/>
  <c r="E15" i="16" s="1"/>
  <c r="F15" i="16" s="1"/>
  <c r="H25" i="7"/>
  <c r="K89" i="5"/>
  <c r="I7" i="8"/>
  <c r="J53" i="5"/>
  <c r="J58" i="5"/>
  <c r="K91" i="5" s="1"/>
  <c r="I14" i="14"/>
  <c r="I10" i="14"/>
  <c r="G67" i="6"/>
  <c r="G6" i="7"/>
  <c r="G29" i="7"/>
  <c r="H17" i="8"/>
  <c r="H10" i="8"/>
  <c r="H11" i="8" s="1"/>
  <c r="I7" i="14"/>
  <c r="I15" i="14" s="1"/>
  <c r="G17" i="7" s="1"/>
  <c r="I54" i="5"/>
  <c r="I3" i="6"/>
  <c r="I38" i="6"/>
  <c r="I17" i="6" s="1"/>
  <c r="I39" i="6"/>
  <c r="I22" i="6" s="1"/>
  <c r="J40" i="6"/>
  <c r="K43" i="6"/>
  <c r="K45" i="6" s="1"/>
  <c r="K40" i="6" s="1"/>
  <c r="K12" i="17"/>
  <c r="K25" i="17"/>
  <c r="K27" i="17" s="1"/>
  <c r="J95" i="5"/>
  <c r="H17" i="6"/>
  <c r="H39" i="6"/>
  <c r="H22" i="6" s="1"/>
  <c r="J21" i="6" l="1"/>
  <c r="M6" i="18"/>
  <c r="I16" i="7"/>
  <c r="K5" i="6"/>
  <c r="I14" i="7"/>
  <c r="E4" i="7"/>
  <c r="E19" i="7" s="1"/>
  <c r="G78" i="6"/>
  <c r="J26" i="6"/>
  <c r="G13" i="8"/>
  <c r="G16" i="8"/>
  <c r="K13" i="17"/>
  <c r="D19" i="16"/>
  <c r="G7" i="7" s="1"/>
  <c r="H12" i="8" s="1"/>
  <c r="E17" i="16"/>
  <c r="F12" i="16"/>
  <c r="F17" i="16" s="1"/>
  <c r="G19" i="8"/>
  <c r="H19" i="14"/>
  <c r="G18" i="8" s="1"/>
  <c r="I97" i="5"/>
  <c r="G14" i="8"/>
  <c r="H6" i="6"/>
  <c r="H7" i="6" s="1"/>
  <c r="H13" i="6" s="1"/>
  <c r="F15" i="7"/>
  <c r="I67" i="6"/>
  <c r="I6" i="7"/>
  <c r="I29" i="7"/>
  <c r="J17" i="8"/>
  <c r="J10" i="8"/>
  <c r="J11" i="8" s="1"/>
  <c r="K7" i="14"/>
  <c r="K54" i="5"/>
  <c r="K3" i="6"/>
  <c r="J14" i="14"/>
  <c r="J10" i="14"/>
  <c r="H67" i="6"/>
  <c r="H6" i="7"/>
  <c r="H29" i="7"/>
  <c r="I17" i="8"/>
  <c r="I10" i="8"/>
  <c r="I11" i="8" s="1"/>
  <c r="J7" i="14"/>
  <c r="J15" i="14" s="1"/>
  <c r="H17" i="7" s="1"/>
  <c r="J54" i="5"/>
  <c r="J3" i="6"/>
  <c r="G16" i="7"/>
  <c r="I16" i="14"/>
  <c r="I5" i="6"/>
  <c r="G14" i="7"/>
  <c r="I11" i="14"/>
  <c r="I12" i="14" s="1"/>
  <c r="I18" i="14" s="1"/>
  <c r="I56" i="6"/>
  <c r="I55" i="6" s="1"/>
  <c r="I19" i="6" s="1"/>
  <c r="J38" i="6"/>
  <c r="J17" i="6" s="1"/>
  <c r="J39" i="6"/>
  <c r="J22" i="6" s="1"/>
  <c r="K38" i="6"/>
  <c r="K17" i="6" s="1"/>
  <c r="K39" i="6"/>
  <c r="K22" i="6" s="1"/>
  <c r="L10" i="17"/>
  <c r="L12" i="17" s="1"/>
  <c r="K17" i="17"/>
  <c r="K15" i="17"/>
  <c r="I8" i="6" s="1"/>
  <c r="L22" i="17"/>
  <c r="L25" i="17" s="1"/>
  <c r="L27" i="17" s="1"/>
  <c r="I11" i="6"/>
  <c r="I70" i="5"/>
  <c r="I72" i="5" s="1"/>
  <c r="H24" i="6"/>
  <c r="K94" i="5"/>
  <c r="K95" i="5" s="1"/>
  <c r="M8" i="18" l="1"/>
  <c r="K21" i="6" s="1"/>
  <c r="M9" i="18"/>
  <c r="M11" i="18" s="1"/>
  <c r="L92" i="5" s="1"/>
  <c r="L94" i="5" s="1"/>
  <c r="L95" i="5" s="1"/>
  <c r="G79" i="6"/>
  <c r="K26" i="6"/>
  <c r="H13" i="8"/>
  <c r="H16" i="8"/>
  <c r="L13" i="17"/>
  <c r="L15" i="17" s="1"/>
  <c r="J8" i="6" s="1"/>
  <c r="E19" i="16"/>
  <c r="H7" i="7" s="1"/>
  <c r="I12" i="8" s="1"/>
  <c r="F19" i="16"/>
  <c r="I7" i="7" s="1"/>
  <c r="J12" i="8" s="1"/>
  <c r="J16" i="8" s="1"/>
  <c r="M13" i="17"/>
  <c r="F4" i="7"/>
  <c r="F19" i="7" s="1"/>
  <c r="H78" i="6"/>
  <c r="H79" i="6" s="1"/>
  <c r="F35" i="7" s="1"/>
  <c r="F38" i="7" s="1"/>
  <c r="C43" i="9"/>
  <c r="C45" i="9" s="1"/>
  <c r="C46" i="9" s="1"/>
  <c r="J13" i="8"/>
  <c r="K15" i="14"/>
  <c r="K11" i="14"/>
  <c r="K56" i="6"/>
  <c r="K55" i="6" s="1"/>
  <c r="K19" i="6" s="1"/>
  <c r="H16" i="7"/>
  <c r="J16" i="14"/>
  <c r="J5" i="6"/>
  <c r="H14" i="7"/>
  <c r="J11" i="14"/>
  <c r="J12" i="14" s="1"/>
  <c r="J18" i="14" s="1"/>
  <c r="J56" i="6"/>
  <c r="J55" i="6" s="1"/>
  <c r="J19" i="6" s="1"/>
  <c r="H19" i="8"/>
  <c r="I19" i="14"/>
  <c r="H18" i="8" s="1"/>
  <c r="I6" i="6"/>
  <c r="I7" i="6" s="1"/>
  <c r="I13" i="6" s="1"/>
  <c r="G15" i="7"/>
  <c r="L17" i="17"/>
  <c r="M10" i="17"/>
  <c r="M12" i="17" s="1"/>
  <c r="J11" i="6"/>
  <c r="M22" i="17"/>
  <c r="M25" i="17" s="1"/>
  <c r="M27" i="17" s="1"/>
  <c r="K11" i="6" s="1"/>
  <c r="I50" i="6"/>
  <c r="I51" i="6" s="1"/>
  <c r="I18" i="6" s="1"/>
  <c r="I20" i="6" s="1"/>
  <c r="I24" i="6" s="1"/>
  <c r="J96" i="5"/>
  <c r="J70" i="5"/>
  <c r="J72" i="5" s="1"/>
  <c r="G15" i="8"/>
  <c r="G20" i="8" s="1"/>
  <c r="I5" i="9" s="1"/>
  <c r="I8" i="9" s="1"/>
  <c r="K70" i="5" l="1"/>
  <c r="K72" i="5" s="1"/>
  <c r="I13" i="8"/>
  <c r="I16" i="8"/>
  <c r="K16" i="14"/>
  <c r="I17" i="7"/>
  <c r="K12" i="14"/>
  <c r="K18" i="14" s="1"/>
  <c r="K6" i="6"/>
  <c r="K7" i="6" s="1"/>
  <c r="I15" i="7"/>
  <c r="I19" i="8"/>
  <c r="J19" i="14"/>
  <c r="I18" i="8" s="1"/>
  <c r="J6" i="6"/>
  <c r="J7" i="6" s="1"/>
  <c r="J13" i="6" s="1"/>
  <c r="H15" i="7"/>
  <c r="M15" i="17"/>
  <c r="K8" i="6" s="1"/>
  <c r="M17" i="17"/>
  <c r="J97" i="5"/>
  <c r="H14" i="8"/>
  <c r="H15" i="8" s="1"/>
  <c r="H20" i="8" s="1"/>
  <c r="J5" i="9" s="1"/>
  <c r="J8" i="9" s="1"/>
  <c r="J50" i="6"/>
  <c r="J51" i="6" s="1"/>
  <c r="J18" i="6" s="1"/>
  <c r="J20" i="6" s="1"/>
  <c r="J24" i="6" s="1"/>
  <c r="K96" i="5"/>
  <c r="F39" i="7"/>
  <c r="E35" i="7"/>
  <c r="E38" i="7" s="1"/>
  <c r="E39" i="7" s="1"/>
  <c r="G80" i="6"/>
  <c r="K50" i="6" l="1"/>
  <c r="K51" i="6" s="1"/>
  <c r="K18" i="6" s="1"/>
  <c r="K20" i="6" s="1"/>
  <c r="K24" i="6" s="1"/>
  <c r="L96" i="5"/>
  <c r="J19" i="8"/>
  <c r="K19" i="14"/>
  <c r="J18" i="8" s="1"/>
  <c r="G4" i="7"/>
  <c r="G19" i="7" s="1"/>
  <c r="I78" i="6"/>
  <c r="I79" i="6" s="1"/>
  <c r="G35" i="7" s="1"/>
  <c r="G38" i="7" s="1"/>
  <c r="K97" i="5"/>
  <c r="I14" i="8"/>
  <c r="I15" i="8" s="1"/>
  <c r="I20" i="8" s="1"/>
  <c r="K5" i="9" s="1"/>
  <c r="K8" i="9" s="1"/>
  <c r="G27" i="6"/>
  <c r="G30" i="6" s="1"/>
  <c r="G31" i="6" s="1"/>
  <c r="H77" i="6"/>
  <c r="H80" i="6" s="1"/>
  <c r="K13" i="6"/>
  <c r="L97" i="5" l="1"/>
  <c r="J14" i="8"/>
  <c r="J15" i="8" s="1"/>
  <c r="J20" i="8" s="1"/>
  <c r="L5" i="9" s="1"/>
  <c r="H4" i="7"/>
  <c r="H19" i="7" s="1"/>
  <c r="H39" i="7" s="1"/>
  <c r="J78" i="6"/>
  <c r="J79" i="6" s="1"/>
  <c r="H35" i="7" s="1"/>
  <c r="H38" i="7" s="1"/>
  <c r="H27" i="6"/>
  <c r="H30" i="6" s="1"/>
  <c r="H31" i="6" s="1"/>
  <c r="I77" i="6"/>
  <c r="I80" i="6" s="1"/>
  <c r="G39" i="7"/>
  <c r="I4" i="7" l="1"/>
  <c r="I19" i="7" s="1"/>
  <c r="K78" i="6"/>
  <c r="K79" i="6" s="1"/>
  <c r="I35" i="7" s="1"/>
  <c r="I38" i="7" s="1"/>
  <c r="C26" i="9"/>
  <c r="C28" i="9" s="1"/>
  <c r="C15" i="9" s="1"/>
  <c r="L8" i="9"/>
  <c r="C11" i="9" s="1"/>
  <c r="I27" i="6"/>
  <c r="I30" i="6" s="1"/>
  <c r="I31" i="6" s="1"/>
  <c r="J77" i="6"/>
  <c r="J80" i="6" s="1"/>
  <c r="C16" i="9" l="1"/>
  <c r="B29" i="24"/>
  <c r="D5" i="10"/>
  <c r="H6" i="10"/>
  <c r="B8" i="10"/>
  <c r="D8" i="10"/>
  <c r="F8" i="10"/>
  <c r="H8" i="10"/>
  <c r="J8" i="10"/>
  <c r="C9" i="10"/>
  <c r="E9" i="10"/>
  <c r="G9" i="10"/>
  <c r="I9" i="10"/>
  <c r="B10" i="10"/>
  <c r="D10" i="10"/>
  <c r="F10" i="10"/>
  <c r="G10" i="10"/>
  <c r="J10" i="10"/>
  <c r="C11" i="10"/>
  <c r="F11" i="10"/>
  <c r="I11" i="10"/>
  <c r="C12" i="10"/>
  <c r="E12" i="10"/>
  <c r="G12" i="10"/>
  <c r="I12" i="10"/>
  <c r="B13" i="10"/>
  <c r="C13" i="10"/>
  <c r="D13" i="10"/>
  <c r="E13" i="10"/>
  <c r="F13" i="10"/>
  <c r="D19" i="10"/>
  <c r="F19" i="10"/>
  <c r="F5" i="10"/>
  <c r="D6" i="10"/>
  <c r="E7" i="10"/>
  <c r="G13" i="10"/>
  <c r="I13" i="10"/>
  <c r="B17" i="10"/>
  <c r="C17" i="10"/>
  <c r="D17" i="10"/>
  <c r="E17" i="10"/>
  <c r="F17" i="10"/>
  <c r="G17" i="10"/>
  <c r="H17" i="10"/>
  <c r="I17" i="10"/>
  <c r="J17" i="10"/>
  <c r="B18" i="10"/>
  <c r="C18" i="10"/>
  <c r="D18" i="10"/>
  <c r="E18" i="10"/>
  <c r="F18" i="10"/>
  <c r="G18" i="10"/>
  <c r="H18" i="10"/>
  <c r="I18" i="10"/>
  <c r="J18" i="10"/>
  <c r="B19" i="10"/>
  <c r="C19" i="10"/>
  <c r="E19" i="10"/>
  <c r="G19" i="10"/>
  <c r="H19" i="10"/>
  <c r="J5" i="10"/>
  <c r="G7" i="10"/>
  <c r="I19" i="10"/>
  <c r="J19" i="10"/>
  <c r="B20" i="10"/>
  <c r="C20" i="10"/>
  <c r="D20" i="10"/>
  <c r="E20" i="10"/>
  <c r="F20" i="10"/>
  <c r="G20" i="10"/>
  <c r="H20" i="10"/>
  <c r="I20" i="10"/>
  <c r="J20" i="10"/>
  <c r="B21" i="10"/>
  <c r="C21" i="10"/>
  <c r="D21" i="10"/>
  <c r="E21" i="10"/>
  <c r="F21" i="10"/>
  <c r="G21" i="10"/>
  <c r="H21" i="10"/>
  <c r="I21" i="10"/>
  <c r="J21" i="10"/>
  <c r="B22" i="10"/>
  <c r="C22" i="10"/>
  <c r="D22" i="10"/>
  <c r="E22" i="10"/>
  <c r="F22" i="10"/>
  <c r="G22" i="10"/>
  <c r="H22" i="10"/>
  <c r="I22" i="10"/>
  <c r="J22" i="10"/>
  <c r="B23" i="10"/>
  <c r="C23" i="10"/>
  <c r="D23" i="10"/>
  <c r="E23" i="10"/>
  <c r="F23" i="10"/>
  <c r="G23" i="10"/>
  <c r="H23" i="10"/>
  <c r="I23" i="10"/>
  <c r="J23" i="10"/>
  <c r="B24" i="10"/>
  <c r="C24" i="10"/>
  <c r="D24" i="10"/>
  <c r="E24" i="10"/>
  <c r="F24" i="10"/>
  <c r="G24" i="10"/>
  <c r="H24" i="10"/>
  <c r="I24" i="10"/>
  <c r="J24" i="10"/>
  <c r="B25" i="10"/>
  <c r="C25" i="10"/>
  <c r="D25" i="10"/>
  <c r="E25" i="10"/>
  <c r="F25" i="10"/>
  <c r="G25" i="10"/>
  <c r="H25" i="10"/>
  <c r="I25" i="10"/>
  <c r="J25" i="10"/>
  <c r="C47" i="9"/>
  <c r="C49" i="9" s="1"/>
  <c r="C51" i="9" s="1"/>
  <c r="C5" i="10"/>
  <c r="E5" i="10"/>
  <c r="G5" i="10"/>
  <c r="I5" i="10"/>
  <c r="B6" i="10"/>
  <c r="C6" i="10"/>
  <c r="E6" i="10"/>
  <c r="G6" i="10"/>
  <c r="I6" i="10"/>
  <c r="B7" i="10"/>
  <c r="D7" i="10"/>
  <c r="F7" i="10"/>
  <c r="H7" i="10"/>
  <c r="J7" i="10"/>
  <c r="C8" i="10"/>
  <c r="E8" i="10"/>
  <c r="G8" i="10"/>
  <c r="I8" i="10"/>
  <c r="B9" i="10"/>
  <c r="B28" i="24"/>
  <c r="B5" i="10"/>
  <c r="H5" i="10"/>
  <c r="J6" i="10"/>
  <c r="I7" i="10"/>
  <c r="D9" i="10"/>
  <c r="F9" i="10"/>
  <c r="H9" i="10"/>
  <c r="J9" i="10"/>
  <c r="C10" i="10"/>
  <c r="E10" i="10"/>
  <c r="H10" i="10"/>
  <c r="I10" i="10"/>
  <c r="B11" i="10"/>
  <c r="D11" i="10"/>
  <c r="E11" i="10"/>
  <c r="G11" i="10"/>
  <c r="H11" i="10"/>
  <c r="J11" i="10"/>
  <c r="B12" i="10"/>
  <c r="D12" i="10"/>
  <c r="F12" i="10"/>
  <c r="H12" i="10"/>
  <c r="J12" i="10"/>
  <c r="H13" i="10"/>
  <c r="J13" i="10"/>
  <c r="C7" i="10"/>
  <c r="F6" i="10"/>
  <c r="J27" i="6"/>
  <c r="J30" i="6" s="1"/>
  <c r="J31" i="6" s="1"/>
  <c r="K77" i="6"/>
  <c r="K80" i="6" s="1"/>
  <c r="K27" i="6" s="1"/>
  <c r="K30" i="6" s="1"/>
  <c r="K31" i="6" s="1"/>
  <c r="I39" i="7"/>
  <c r="B30" i="24" l="1"/>
  <c r="C17" i="9"/>
  <c r="B31" i="24" s="1"/>
  <c r="B36" i="24"/>
  <c r="C55" i="9"/>
  <c r="H13" i="9" l="1"/>
  <c r="C19" i="9"/>
  <c r="B33" i="24" l="1"/>
  <c r="C21" i="9"/>
  <c r="C54" i="9" l="1"/>
  <c r="C56" i="9" s="1"/>
  <c r="H29" i="9"/>
  <c r="B35" i="24"/>
  <c r="B38" i="24"/>
  <c r="C5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med amine hssan</author>
  </authors>
  <commentList>
    <comment ref="AP66" authorId="0" shapeId="0" xr:uid="{00000000-0006-0000-1000-000001000000}">
      <text/>
    </comment>
  </commentList>
</comments>
</file>

<file path=xl/sharedStrings.xml><?xml version="1.0" encoding="utf-8"?>
<sst xmlns="http://schemas.openxmlformats.org/spreadsheetml/2006/main" count="1499" uniqueCount="841">
  <si>
    <t>D&amp;A</t>
  </si>
  <si>
    <t>Average Useful life (years):</t>
  </si>
  <si>
    <t>10-K notes estimated useful lives</t>
  </si>
  <si>
    <t>Years</t>
  </si>
  <si>
    <t>D&amp;A Forecasting</t>
  </si>
  <si>
    <t>Projected</t>
  </si>
  <si>
    <t>2026F</t>
  </si>
  <si>
    <t>2027F</t>
  </si>
  <si>
    <t>2028F</t>
  </si>
  <si>
    <t>2029F</t>
  </si>
  <si>
    <t>2030F</t>
  </si>
  <si>
    <t xml:space="preserve">For CaPex in </t>
  </si>
  <si>
    <t>Total Depreciation</t>
  </si>
  <si>
    <t>Amortization</t>
  </si>
  <si>
    <t>Totat D&amp;A</t>
  </si>
  <si>
    <t>Historical</t>
  </si>
  <si>
    <t>2020A</t>
  </si>
  <si>
    <t>2021A</t>
  </si>
  <si>
    <t>2022A</t>
  </si>
  <si>
    <t>2023A</t>
  </si>
  <si>
    <t>2024A</t>
  </si>
  <si>
    <t>2025A</t>
  </si>
  <si>
    <t>2026 F</t>
  </si>
  <si>
    <t>2027 F</t>
  </si>
  <si>
    <t>2028 F</t>
  </si>
  <si>
    <t>2029 F</t>
  </si>
  <si>
    <t>2030 F</t>
  </si>
  <si>
    <t xml:space="preserve">  NVIDIA Corporation — Model Assumptions</t>
  </si>
  <si>
    <t xml:space="preserve">  Valuation Date: October 17, 2025   |   Currency: USD millions   |   Model: L3 DCF (FCFF / Gordon Growth)   |   Forecast: FY2026–FY2030</t>
  </si>
  <si>
    <t xml:space="preserve">  1.  WACC &amp; COST OF CAPITAL</t>
  </si>
  <si>
    <t>Input</t>
  </si>
  <si>
    <t>Value</t>
  </si>
  <si>
    <t>FY2026F</t>
  </si>
  <si>
    <t>FY2027F</t>
  </si>
  <si>
    <t>FY2028F</t>
  </si>
  <si>
    <t>FY2029F</t>
  </si>
  <si>
    <t>FY2030F</t>
  </si>
  <si>
    <t>Rationale</t>
  </si>
  <si>
    <t>Source / Sheet</t>
  </si>
  <si>
    <t>Risk-free rate</t>
  </si>
  <si>
    <t>US 10-Year Treasury yield as of October 17, 2025. Represents the minimum risk-free return investors require.</t>
  </si>
  <si>
    <t>15_WACC!F10 | US Treasury / FRED</t>
  </si>
  <si>
    <t>Equity risk premium (ERP)</t>
  </si>
  <si>
    <t>Damodaran implied ERP for US market. Represents the additional return equity investors demand over the risk-free rate.</t>
  </si>
  <si>
    <t>15_WACC!F12 | Damodaran (Jan 2025)</t>
  </si>
  <si>
    <t>Adjusted beta (Blume)</t>
  </si>
  <si>
    <t>Blume-adjusted beta from regression of NVDA vs S&amp;P 500 (60M weekly). Formula: β_adj = 0.67×β_raw + 0.33×1.0. Pulls from 14_Beta sheet.</t>
  </si>
  <si>
    <t>15_WACC!F11 | Yahoo Finance / 14_Beta</t>
  </si>
  <si>
    <t>Cost of equity (CAPM)</t>
  </si>
  <si>
    <t>CAPM: Ke = Rf + β × ERP. Represents the return required by equity investors based on systematic risk.</t>
  </si>
  <si>
    <t>15_WACC!F9 (computed)</t>
  </si>
  <si>
    <t>Pre-tax cost of debt</t>
  </si>
  <si>
    <t>Weighted average interest rate on NVIDIA's outstanding debt. Derived from interest expense / average debt balance.</t>
  </si>
  <si>
    <t>15_WACC!F16 | 13_DebtSchedule</t>
  </si>
  <si>
    <t>Effective tax rate (FY2025)</t>
  </si>
  <si>
    <t>FY2025 actual effective tax rate (Income Tax / Pre-Tax Income). Used as proxy for normalized rate in WACC. Forecast rates in Section 4.</t>
  </si>
  <si>
    <t>15_WACC!F17 | 04a_Projection_IS!F71</t>
  </si>
  <si>
    <t>Weight of equity</t>
  </si>
  <si>
    <t>Market cap / (Market cap + Total debt). NVIDIA is near debt-free — equity weight is 99.8%.</t>
  </si>
  <si>
    <t>15_WACC!F8 (computed)</t>
  </si>
  <si>
    <t>Weight of debt</t>
  </si>
  <si>
    <t>Total debt / (Market cap + Total debt). Minimal debt — 0.19% weight.</t>
  </si>
  <si>
    <t>15_WACC!F15 (computed)</t>
  </si>
  <si>
    <t>WACC  ✦</t>
  </si>
  <si>
    <t>Weighted Average Cost of Capital: w_e × Ke + w_d × Kd × (1–t). Primary discount rate for FCF discounting.</t>
  </si>
  <si>
    <t>15_WACC!F19 (computed) | named range: wacc_output</t>
  </si>
  <si>
    <t xml:space="preserve">  2.  DCF ASSUMPTIONS</t>
  </si>
  <si>
    <t>Projection horizon</t>
  </si>
  <si>
    <t>Standard 5-year explicit forecast period. NVIDIA's Data Center hyper-growth makes longer periods too speculative.</t>
  </si>
  <si>
    <t>Convention</t>
  </si>
  <si>
    <t>Terminal growth rate (g)  ✦</t>
  </si>
  <si>
    <t>Long-run nominal GDP growth (3%–5% range). Set at 4% — midpoint, consistent with NVIDIA's presence in structural AI growth market.</t>
  </si>
  <si>
    <t>05b_DCF!C13 | named range: terminal_growth</t>
  </si>
  <si>
    <t>Terminal value method</t>
  </si>
  <si>
    <t>Gordon Growth</t>
  </si>
  <si>
    <t>Gordon Growth Model: TV = FCF₅ × (1+g) / (WACC–g). Single terminal value method used. Exit multiple (EV/EBITDA) recommended as cross-check — see 05b_DCF.</t>
  </si>
  <si>
    <t>05b_DCF rows 24–28</t>
  </si>
  <si>
    <t>Diluted shares outstanding</t>
  </si>
  <si>
    <t>Diluted share count as of Q2 FY2025 (in millions). Used to convert equity value to per-share price.</t>
  </si>
  <si>
    <t>05b_DCF!C20 | NVIDIA 10-K</t>
  </si>
  <si>
    <t>Valuation date</t>
  </si>
  <si>
    <t>October 17, 2025</t>
  </si>
  <si>
    <t>Date of valuation. Market price on this date: $183.22. Implied price: $109.26 (–39.9%).</t>
  </si>
  <si>
    <t>Manual input</t>
  </si>
  <si>
    <t>Market price (Oct 17, 2025)</t>
  </si>
  <si>
    <t>NVIDIA closing price on the valuation date. Used as reference point for premium/discount calculation.</t>
  </si>
  <si>
    <t>16_MarketData | Yahoo Finance</t>
  </si>
  <si>
    <t xml:space="preserve">  3.  REVENUE GROWTH ASSUMPTIONS  —  Base Case ($ millions)</t>
  </si>
  <si>
    <t>Data Center revenue — YoY growth</t>
  </si>
  <si>
    <t>Primary driver</t>
  </si>
  <si>
    <t>AI accelerator demand (H100/H200/B200). Dominant segment at 88% of FY2025 revenue. Base case reflects decelerating but still exceptional growth.</t>
  </si>
  <si>
    <t>04a_Projection_IS rows 5–9</t>
  </si>
  <si>
    <t>Gaming revenue — YoY growth</t>
  </si>
  <si>
    <t>Stable/slow</t>
  </si>
  <si>
    <t>PC GPU upgrade cycle. Mature segment. Base case assumes modest growth recovering post-crypto hangover.</t>
  </si>
  <si>
    <t>04a_Projection_IS rows 11–15</t>
  </si>
  <si>
    <t>Professional Visualization — YoY growth</t>
  </si>
  <si>
    <t>Steady</t>
  </si>
  <si>
    <t>Workstation GPU (Quadro/RTX). Stable enterprise market. Base case: low-to-mid single digit growth.</t>
  </si>
  <si>
    <t>04a_Projection_IS rows 17–21</t>
  </si>
  <si>
    <t>Automotive — YoY growth</t>
  </si>
  <si>
    <t>High growth</t>
  </si>
  <si>
    <t>DRIVE Orin/Thor autonomous vehicle platform. Long adoption cycle but accelerating. Base case is conservative vs upside (65%+).</t>
  </si>
  <si>
    <t>04a_Projection_IS rows 23–27</t>
  </si>
  <si>
    <t>OEM &amp; Other — YoY growth</t>
  </si>
  <si>
    <t>Minimal</t>
  </si>
  <si>
    <t>Legacy OEM business declining/flat. Smallest segment. Immaterial to total revenue.</t>
  </si>
  <si>
    <t>04a_Projection_IS rows 29–33</t>
  </si>
  <si>
    <t>Total revenue — YoY growth  ✦</t>
  </si>
  <si>
    <t>See forecast</t>
  </si>
  <si>
    <t>Blended growth driven primarily by Data Center. FY2026 +62% reflects continued AI buildout; decelerates through FY2030.</t>
  </si>
  <si>
    <t>04a_Projection_IS row 36 (computed)</t>
  </si>
  <si>
    <t xml:space="preserve">  4.  MARGIN &amp; COST ASSUMPTIONS</t>
  </si>
  <si>
    <t>Effective tax rate — Base case</t>
  </si>
  <si>
    <t>15.0% (FY26)</t>
  </si>
  <si>
    <t>Forecast ETR stepping up from FY2025 actual 13.3% towards normalized 14–15% range. Reflects global minimum tax (Pillar Two) impact.</t>
  </si>
  <si>
    <t>04a_Projection_IS rows 62–65</t>
  </si>
  <si>
    <t>Cash &amp; equivalents as % of revenue</t>
  </si>
  <si>
    <t>28% (FY26)</t>
  </si>
  <si>
    <t>NVIDIA holds significant net cash. Declining % of revenue as absolute revenue scales rapidly. Used to compute interest income.</t>
  </si>
  <si>
    <t>04a_Projection_IS row 55</t>
  </si>
  <si>
    <t>Assumed yield on cash</t>
  </si>
  <si>
    <t>3.45% (FY26)</t>
  </si>
  <si>
    <t>Interest earned on cash/short-term investments. Reflects prevailing money market / short-duration bond rates. Declining with rate cycle.</t>
  </si>
  <si>
    <t>04a_Projection_IS row 57</t>
  </si>
  <si>
    <t>Other income (net) — Base case ($M)</t>
  </si>
  <si>
    <t>Flat $1,000M from FY27 (conservative; excl. equity gains)</t>
  </si>
  <si>
    <t xml:space="preserve">  5.  CAPITAL EXPENDITURE &amp; DEPRECIATION</t>
  </si>
  <si>
    <t>CapEx as % of revenue  ✦</t>
  </si>
  <si>
    <t>3.0% (FY26)</t>
  </si>
  <si>
    <t>NVIDIA is asset-light (fabless). CapEx covers data centers, tools, and leasehold improvements. % slightly increasing as hyperscaler infrastructure spend rises.</t>
  </si>
  <si>
    <t>12_FixedAssets row 7</t>
  </si>
  <si>
    <t>Average useful life (years)</t>
  </si>
  <si>
    <t>Weighted average depreciation period for fixed assets and capitalized costs. Used to compute annual D&amp;A schedule in 11_DA sheet.</t>
  </si>
  <si>
    <t>11_DA!B3</t>
  </si>
  <si>
    <t>D&amp;A — FY2026F ($M)</t>
  </si>
  <si>
    <t>Projected D&amp;A driven by CapEx schedule and 5-year useful life assumption. Adds back to EBIT to derive EBITDA and FCFF.</t>
  </si>
  <si>
    <t>11_DA row 19 (computed)</t>
  </si>
  <si>
    <t xml:space="preserve">  6.  DEBT, CASH &amp; BALANCE SHEET</t>
  </si>
  <si>
    <t>Total debt (current) ($M)</t>
  </si>
  <si>
    <t>Long-term debt + current portion of leases as of FY2025. NVIDIA has minimal leverage. Net debt is negative (net cash position).</t>
  </si>
  <si>
    <t>15_WACC!F14 | 02_Historical_BS</t>
  </si>
  <si>
    <t>Cash &amp; equivalents ($M)</t>
  </si>
  <si>
    <t>FY2025 cash and short-term investments. Deducted from EV to derive equity value in DCF.</t>
  </si>
  <si>
    <t>05b_DCF!C37 | 02_Historical_BS</t>
  </si>
  <si>
    <t>Net debt / (net cash) ($M)</t>
  </si>
  <si>
    <t>Total Debt minus Cash. NVIDIA has a net cash position of ~$32.9B — this is subtracted from EV, increasing equity value.</t>
  </si>
  <si>
    <t>05b_DCF!C38 (computed)</t>
  </si>
  <si>
    <t xml:space="preserve">  Note:  Values marked ✦ are key model drivers — changes here flow through the full P&amp;L, FCFF schedule, and implied share price.   All formula cells link live to source sheets.   Sensitivity analysis: see 05b_DCF and 06_Sensitivity.</t>
  </si>
  <si>
    <t>Income Statement</t>
  </si>
  <si>
    <t>Common-Size Income Statements</t>
  </si>
  <si>
    <t>Revenue</t>
  </si>
  <si>
    <t>Cost of revenue( COGS)</t>
  </si>
  <si>
    <t>Gross profit</t>
  </si>
  <si>
    <t>Cost of revenue</t>
  </si>
  <si>
    <t>Operating expenses</t>
  </si>
  <si>
    <t>Research and development</t>
  </si>
  <si>
    <t>Sales, general and administrative</t>
  </si>
  <si>
    <t>Acquisition termination cost</t>
  </si>
  <si>
    <t>Total operating expenses</t>
  </si>
  <si>
    <t>EBIT (Operating income )</t>
  </si>
  <si>
    <t>EBIT (Operating income)</t>
  </si>
  <si>
    <t>EBITDA</t>
  </si>
  <si>
    <t>Interest income</t>
  </si>
  <si>
    <t>Interest expense</t>
  </si>
  <si>
    <t>Other, net</t>
  </si>
  <si>
    <t>Other income (expense), net</t>
  </si>
  <si>
    <t>EBT (Income before income tax)</t>
  </si>
  <si>
    <t>Income tax expense (benefit)</t>
  </si>
  <si>
    <t>EBT (Income before income tax )</t>
  </si>
  <si>
    <t>Net income</t>
  </si>
  <si>
    <t>Data Center</t>
  </si>
  <si>
    <t>Compute</t>
  </si>
  <si>
    <t>Networking</t>
  </si>
  <si>
    <t>Gaming</t>
  </si>
  <si>
    <t>Professional Visualization</t>
  </si>
  <si>
    <t>Automotive</t>
  </si>
  <si>
    <t>OEM and Other</t>
  </si>
  <si>
    <t>Total revenue</t>
  </si>
  <si>
    <t>United States</t>
  </si>
  <si>
    <t xml:space="preserve">Singapore </t>
  </si>
  <si>
    <t>Taiwan</t>
  </si>
  <si>
    <t>China (including Hong Kong)</t>
  </si>
  <si>
    <t>Other</t>
  </si>
  <si>
    <t xml:space="preserve">Growth rate </t>
  </si>
  <si>
    <t xml:space="preserve">Balance Sheet </t>
  </si>
  <si>
    <t>Common-size Balance Sheet</t>
  </si>
  <si>
    <t>Fiscal Year</t>
  </si>
  <si>
    <t>2021</t>
  </si>
  <si>
    <t>2022</t>
  </si>
  <si>
    <t>2023</t>
  </si>
  <si>
    <t>2024</t>
  </si>
  <si>
    <t>2025</t>
  </si>
  <si>
    <t>Period Ending</t>
  </si>
  <si>
    <t>Jan '21 Jan 31, 2021</t>
  </si>
  <si>
    <t>Jan '22 Jan 30, 2022</t>
  </si>
  <si>
    <t>Jan '23 Jan 29, 2023</t>
  </si>
  <si>
    <t>Jan '24 Jan 28, 2024</t>
  </si>
  <si>
    <t>Jan '25 Jan 26, 2025</t>
  </si>
  <si>
    <t>Cash &amp; Equivalents</t>
  </si>
  <si>
    <t>Short-Term Investments</t>
  </si>
  <si>
    <t>Cash &amp; Short-Term Investments</t>
  </si>
  <si>
    <t>Receivables</t>
  </si>
  <si>
    <t>Inventory</t>
  </si>
  <si>
    <t>Prepaid Expenses</t>
  </si>
  <si>
    <t>Total Current Assets</t>
  </si>
  <si>
    <t>Property, Plant &amp; Equipment</t>
  </si>
  <si>
    <t>Operating lease assets</t>
  </si>
  <si>
    <t>Long-Term Investments</t>
  </si>
  <si>
    <t>Goodwill</t>
  </si>
  <si>
    <t>Intangible Assets, net</t>
  </si>
  <si>
    <t>Other Intangible Assets</t>
  </si>
  <si>
    <t>Long-Term Deferred Tax Assets</t>
  </si>
  <si>
    <t>Other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</si>
  <si>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</si>
  <si>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</si>
  <si>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</si>
  <si>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</si>
  <si>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</si>
  <si>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</si>
  <si>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</si>
  <si>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</si>
  <si>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</si>
  <si>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</si>
  <si>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</si>
  <si>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</si>
  <si>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</si>
  <si>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</si>
  <si>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Long-Term Deferred Tax Liabilities</t>
  </si>
  <si>
    <t>Other Long-Term Liabilities</t>
  </si>
  <si>
    <t>Total Liabilities</t>
  </si>
  <si>
    <t>Common Stock</t>
  </si>
  <si>
    <t>Additional Paid-In Capital</t>
  </si>
  <si>
    <t>Retained Earnings</t>
  </si>
  <si>
    <t>Treasury Stock</t>
  </si>
  <si>
    <t>Comprehensive Income &amp; Other</t>
  </si>
  <si>
    <t>Shareholders' Equity</t>
  </si>
  <si>
    <t>Total Liabilities &amp; Equity</t>
  </si>
  <si>
    <t>Check</t>
  </si>
  <si>
    <t>Cash Flow statement</t>
  </si>
  <si>
    <t>NVIDIA Corporation Common-Size Cash Flow Statement: 
Percentage of Inflows/Outflows Approach</t>
  </si>
  <si>
    <t>Cash flows from operating activities:</t>
  </si>
  <si>
    <t>% of net revenue</t>
  </si>
  <si>
    <t>Adjustments to reconcile net income to net cash provided by operating
activities:</t>
  </si>
  <si>
    <t>Stock-based compensation expense</t>
  </si>
  <si>
    <t>Depreciation and amortization</t>
  </si>
  <si>
    <t>Deferred income taxes</t>
  </si>
  <si>
    <t>(Gains) losses on non-marketable equity securities and publicly-held equity securities, net</t>
  </si>
  <si>
    <t>Changes in operating assets and liabilities, net of acquisitions:</t>
  </si>
  <si>
    <t>Accounts receivable</t>
  </si>
  <si>
    <t>Inventories</t>
  </si>
  <si>
    <t>Prepaid expenses and other assets</t>
  </si>
  <si>
    <t>Accounts payable</t>
  </si>
  <si>
    <t>Accrued and other current liabilities</t>
  </si>
  <si>
    <t>Other long-term liabilities</t>
  </si>
  <si>
    <t>Net cash provided by operating activities</t>
  </si>
  <si>
    <t>Cash flows from investing activities:</t>
  </si>
  <si>
    <t>Proceeds from maturities of marketable securities</t>
  </si>
  <si>
    <t>Proceeds from sales of marketable securities</t>
  </si>
  <si>
    <t>Proceeds from sales of non-marketable equity securities</t>
  </si>
  <si>
    <t>Purchases of marketable securities</t>
  </si>
  <si>
    <t>Purchases related to property and equipment and intangible
assets (capEX)</t>
  </si>
  <si>
    <t>Purchases related to property and equipment and intangible
assets</t>
  </si>
  <si>
    <t>Purchases of non-marketable equity securities</t>
  </si>
  <si>
    <t>Acquisitions, net of cash acquired</t>
  </si>
  <si>
    <t>Net cash provided by (used in) investing activities</t>
  </si>
  <si>
    <t>Cash flows from financing activities:</t>
  </si>
  <si>
    <t>Proceeds related to employee stock plans</t>
  </si>
  <si>
    <t>Payments related to repurchases of common stock (buyback)</t>
  </si>
  <si>
    <t>Payments related to repurchases of common stock</t>
  </si>
  <si>
    <t>Payments related to tax on restricted stock units</t>
  </si>
  <si>
    <t>Repayment of debt</t>
  </si>
  <si>
    <t>Dividends paid</t>
  </si>
  <si>
    <t>Principal payments on property and equipment and intangible assets</t>
  </si>
  <si>
    <t>Principal payments on property and equipment and intangible
assets</t>
  </si>
  <si>
    <t>Net cash used in financing activities</t>
  </si>
  <si>
    <t>Change in cash and cash equivalents ( Net Cash Flow )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</si>
  <si>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</si>
  <si>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</si>
  <si>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</si>
  <si>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</si>
  <si>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income taxes, net</t>
  </si>
  <si>
    <t>Cash paid for interest</t>
  </si>
  <si>
    <t>Accumulated Amortization</t>
  </si>
  <si>
    <t>Depriciation</t>
  </si>
  <si>
    <t>What are the major sources and uses of cash for  NVIDIA?</t>
  </si>
  <si>
    <t>Increase in cash</t>
  </si>
  <si>
    <t>FCFF for NVIDIA corporation</t>
  </si>
  <si>
    <t>Tax rate</t>
  </si>
  <si>
    <t>interest expense</t>
  </si>
  <si>
    <t>Cash paid for interest, net of tax</t>
  </si>
  <si>
    <t>Capex</t>
  </si>
  <si>
    <t>FCFF</t>
  </si>
  <si>
    <t>FCFF Growth</t>
  </si>
  <si>
    <t>FCFE for NVIDIA corporation</t>
  </si>
  <si>
    <t>Operating cash flow</t>
  </si>
  <si>
    <t>FCFE</t>
  </si>
  <si>
    <t>FCFE Growth</t>
  </si>
  <si>
    <t>Cash Flow Ratios</t>
  </si>
  <si>
    <t>Performance Ratios</t>
  </si>
  <si>
    <t>Cash flow to revenue</t>
  </si>
  <si>
    <t>Cash return on assets</t>
  </si>
  <si>
    <t>Cash return on equity</t>
  </si>
  <si>
    <t>Cash flow per share</t>
  </si>
  <si>
    <t>Coverage Ratios</t>
  </si>
  <si>
    <t>Debt coverage</t>
  </si>
  <si>
    <t>Interest coverage</t>
  </si>
  <si>
    <t>Reinvestment</t>
  </si>
  <si>
    <t>Debt payment</t>
  </si>
  <si>
    <t>_</t>
  </si>
  <si>
    <t>Dividend payment</t>
  </si>
  <si>
    <t>FY 2022</t>
  </si>
  <si>
    <t>FY 2024</t>
  </si>
  <si>
    <t>Net Income</t>
  </si>
  <si>
    <t>Depreciation &amp; Amortization</t>
  </si>
  <si>
    <t>Loss (Gain) From Sale of Investments</t>
  </si>
  <si>
    <t>Stock-Based Compensation</t>
  </si>
  <si>
    <t>Other Operating Activities</t>
  </si>
  <si>
    <t>Change in Accounts Receivable</t>
  </si>
  <si>
    <t>Change in Inventory</t>
  </si>
  <si>
    <t>Change in Accounts Payable</t>
  </si>
  <si>
    <t>Change in Other Net Operating Assets</t>
  </si>
  <si>
    <t>Operating Cash Flow</t>
  </si>
  <si>
    <t>Operating Cash Flow Growth</t>
  </si>
  <si>
    <t>Capital Expenditures</t>
  </si>
  <si>
    <t>Cash Acquisitions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</si>
  <si>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</si>
  <si>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</si>
  <si>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</si>
  <si>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</si>
  <si>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</si>
  <si>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</si>
  <si>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Issuance of Common Stock</t>
  </si>
  <si>
    <t>Repurchase of Common Stock</t>
  </si>
  <si>
    <t>Common Dividends Paid</t>
  </si>
  <si>
    <t>Other Financing Activities</t>
  </si>
  <si>
    <t>Financing Cash Flow</t>
  </si>
  <si>
    <t>Net Cash Flow</t>
  </si>
  <si>
    <t>Free Cash Flow</t>
  </si>
  <si>
    <t>Free Cash Flow Growth</t>
  </si>
  <si>
    <t>Free Cash Flow Margin</t>
  </si>
  <si>
    <t>Free Cash Flow Per Share</t>
  </si>
  <si>
    <t>Cash Interest Paid</t>
  </si>
  <si>
    <t>Cash Income Tax Paid</t>
  </si>
  <si>
    <t>Levered Free Cash Flow</t>
  </si>
  <si>
    <t>Unlevered Free Cash Flow</t>
  </si>
  <si>
    <t>Change in Net Working Capital</t>
  </si>
  <si>
    <t>Revenue Growth Analysis</t>
  </si>
  <si>
    <t>Margin Analysis</t>
  </si>
  <si>
    <t>($ in millions)</t>
  </si>
  <si>
    <t>2020</t>
  </si>
  <si>
    <t>Data Center revenue</t>
  </si>
  <si>
    <t>Gross Margin, %</t>
  </si>
  <si>
    <t>Y/Y Growth rate  in Data center revenue</t>
  </si>
  <si>
    <t>Base case</t>
  </si>
  <si>
    <t>Upside case</t>
  </si>
  <si>
    <t>Downside case</t>
  </si>
  <si>
    <t>R&amp;D Margin, %</t>
  </si>
  <si>
    <t>Gaming revenue</t>
  </si>
  <si>
    <t>Y/Y Growth rate in Gaming revenue</t>
  </si>
  <si>
    <t>SG&amp;A Margin, %</t>
  </si>
  <si>
    <t>Professional Visualization revenue</t>
  </si>
  <si>
    <t>Y/Y Growth rate in Professional Visualization revenue</t>
  </si>
  <si>
    <t>Automotive revenue</t>
  </si>
  <si>
    <t>Y/Y Growth rate Automotive revenue</t>
  </si>
  <si>
    <t>%</t>
  </si>
  <si>
    <t>OEM and Other revenue</t>
  </si>
  <si>
    <t>Y/Y Growth rate in OEM and Other revenue</t>
  </si>
  <si>
    <t>Total Revenue</t>
  </si>
  <si>
    <t>Y/Y Growth rate in Total revenue</t>
  </si>
  <si>
    <t>Assumptions of Assumed Yield ( % return on investments)</t>
  </si>
  <si>
    <t>Cash &amp; Short-Term Investments % of revenue</t>
  </si>
  <si>
    <t>Assumed Yield, %</t>
  </si>
  <si>
    <t>Interest Income projections</t>
  </si>
  <si>
    <t>Average Cash &amp; Short-Term Investments</t>
  </si>
  <si>
    <t>Assumed Yield</t>
  </si>
  <si>
    <t>Effective tax rate assumptions</t>
  </si>
  <si>
    <t>ETR, %</t>
  </si>
  <si>
    <t>Income tax expense (benefit) projections</t>
  </si>
  <si>
    <t>Income before income tax</t>
  </si>
  <si>
    <t>ETR</t>
  </si>
  <si>
    <t>Total operating expenses ( EBIT)</t>
  </si>
  <si>
    <t>Operating income</t>
  </si>
  <si>
    <t>Income before income tax ( EBT)</t>
  </si>
  <si>
    <t xml:space="preserve"> Intangible Assets , net</t>
  </si>
  <si>
    <t>Leasing Model</t>
  </si>
  <si>
    <t>2021 A</t>
  </si>
  <si>
    <t>2022 A</t>
  </si>
  <si>
    <t>2023 A</t>
  </si>
  <si>
    <t>2024 A</t>
  </si>
  <si>
    <t>2025 A</t>
  </si>
  <si>
    <t>Total of Leases</t>
  </si>
  <si>
    <t>Current Portion of Leases %</t>
  </si>
  <si>
    <t>Opening Lease Liability</t>
  </si>
  <si>
    <t>New Leases</t>
  </si>
  <si>
    <t>Total Lease Liabilities</t>
  </si>
  <si>
    <t>New lease obligations ( 7600$ over 5 years)</t>
  </si>
  <si>
    <t>current liabilities % OpEx</t>
  </si>
  <si>
    <t>Assumptions :</t>
  </si>
  <si>
    <t>YoY %</t>
  </si>
  <si>
    <t>SBC % of Revenue</t>
  </si>
  <si>
    <t>Assumptions</t>
  </si>
  <si>
    <t>Retained Earnings, BoP</t>
  </si>
  <si>
    <t>Plus: Net Income</t>
  </si>
  <si>
    <t>Less: Dividends</t>
  </si>
  <si>
    <t>Retained Earnings, EoP</t>
  </si>
  <si>
    <t>Dividend Payout Ratio, %</t>
  </si>
  <si>
    <t xml:space="preserve">Unlevered Free Cash Flow </t>
  </si>
  <si>
    <t>COGS</t>
  </si>
  <si>
    <t>Gross Profit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</si>
  <si>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</si>
  <si>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</si>
  <si>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</si>
  <si>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</si>
  <si>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</si>
  <si>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</si>
  <si>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</si>
  <si>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DCF Model</t>
  </si>
  <si>
    <t>Projection Year</t>
  </si>
  <si>
    <t>Present Value of Free Cash Flow</t>
  </si>
  <si>
    <t>Implied Share Price Calculation</t>
  </si>
  <si>
    <t>Sensitivity Analysis -&gt; Entreprise Value</t>
  </si>
  <si>
    <t>Sum of PV of FCF</t>
  </si>
  <si>
    <t>GDP Growth</t>
  </si>
  <si>
    <t>3% - 5%</t>
  </si>
  <si>
    <t>Growth Rate</t>
  </si>
  <si>
    <t>Growth Rate (g)</t>
  </si>
  <si>
    <t>WACC</t>
  </si>
  <si>
    <t>Terminal Value</t>
  </si>
  <si>
    <t>PV of Terminal Value</t>
  </si>
  <si>
    <t>Entreprise Value</t>
  </si>
  <si>
    <t>(-) Current net Debt</t>
  </si>
  <si>
    <t>Equity Value</t>
  </si>
  <si>
    <t xml:space="preserve">Diluted Shares Outstanding </t>
  </si>
  <si>
    <t>Implied Share Price</t>
  </si>
  <si>
    <t>Propetuity Growth model</t>
  </si>
  <si>
    <t>FCF_5</t>
  </si>
  <si>
    <t>Sensitivity Analysis -&gt; Implied share Price</t>
  </si>
  <si>
    <t>g</t>
  </si>
  <si>
    <t>Current net Debt</t>
  </si>
  <si>
    <t>Short term-Debt</t>
  </si>
  <si>
    <t>Total Debt</t>
  </si>
  <si>
    <t>(-) Cash and cash equivalents</t>
  </si>
  <si>
    <t xml:space="preserve">  Terminal Value — EV/EBITDA Exit Multiple Method</t>
  </si>
  <si>
    <t>Input / Metric</t>
  </si>
  <si>
    <t>Formula / Note</t>
  </si>
  <si>
    <t>FY2030 EBITDA  ($M)</t>
  </si>
  <si>
    <t>FCFF sheet row 11, col J (2030F) — EBIT + D&amp;A</t>
  </si>
  <si>
    <t>Exit Multiple  (peer median EV/EBITDA)</t>
  </si>
  <si>
    <t>Peer median: AMD 68.3x, Intel 22.3x, QCOM 13.0x, AVGO 52.0x, TSMC 14.3x → median 22.3x</t>
  </si>
  <si>
    <t>Implied Terminal EV  ($M)</t>
  </si>
  <si>
    <t>FY2030 EBITDA × Exit Multiple</t>
  </si>
  <si>
    <t>PV of Terminal EV  ($M)</t>
  </si>
  <si>
    <t>Discounted at WACC over 5-year horizon</t>
  </si>
  <si>
    <t>Enterprise Value — Exit Multiple  ($M)</t>
  </si>
  <si>
    <t>Sum of PV FCFs (C11) + PV Terminal EV</t>
  </si>
  <si>
    <t>(-) Net Debt  ($M)</t>
  </si>
  <si>
    <t>From net debt bridge (negative = net cash)</t>
  </si>
  <si>
    <t>Equity Value — Exit Multiple  ($M)</t>
  </si>
  <si>
    <t>EV minus Net Debt</t>
  </si>
  <si>
    <t>Diluted Shares Outstanding</t>
  </si>
  <si>
    <t>Same as Gordon Growth base</t>
  </si>
  <si>
    <t>Implied Share Price — Exit Multiple  ✦</t>
  </si>
  <si>
    <t>Equity Value / Diluted Shares</t>
  </si>
  <si>
    <t xml:space="preserve">  Valuation Cross-Check  —  Gordon Growth vs Exit Multiple</t>
  </si>
  <si>
    <t>Gordon Growth implied price</t>
  </si>
  <si>
    <t>See 06_Sensitivity for full WACC×g range</t>
  </si>
  <si>
    <t>Exit Multiple implied price</t>
  </si>
  <si>
    <t>Difference  (Exit − Gordon)</t>
  </si>
  <si>
    <t>Average of both methods</t>
  </si>
  <si>
    <t xml:space="preserve">  NVIDIA Sensitivity Analysis  —  WACC × Terminal Growth Rate</t>
  </si>
  <si>
    <t>NVIDIA Football field analysis - valuation summary</t>
  </si>
  <si>
    <t xml:space="preserve">  Implied Share Price  ($)  —  Gordon Growth Terminal Value</t>
  </si>
  <si>
    <t>WACC \ g</t>
  </si>
  <si>
    <t>Football Field Analysis - Data</t>
  </si>
  <si>
    <t>OpenLow</t>
  </si>
  <si>
    <t>Low</t>
  </si>
  <si>
    <t>OpenHigh</t>
  </si>
  <si>
    <t>High</t>
  </si>
  <si>
    <t>DCF Bear</t>
  </si>
  <si>
    <t>DCF Base</t>
  </si>
  <si>
    <t>DCF Bull</t>
  </si>
  <si>
    <t>Comps</t>
  </si>
  <si>
    <t xml:space="preserve">  Enterprise Value  ($M)  —  Gordon Growth Terminal Value</t>
  </si>
  <si>
    <t>NVIDIA</t>
  </si>
  <si>
    <t>Recommendation</t>
  </si>
  <si>
    <t>"Hold"</t>
  </si>
  <si>
    <t>Current Price</t>
  </si>
  <si>
    <t>Target Price</t>
  </si>
  <si>
    <t>UP/DOWNSIDE</t>
  </si>
  <si>
    <t>Shares Out</t>
  </si>
  <si>
    <t>24.30B</t>
  </si>
  <si>
    <t>Industry</t>
  </si>
  <si>
    <t>Sector</t>
  </si>
  <si>
    <t xml:space="preserve">  ■ Dark green = base case (WACC 12.9% / g 4.0%)   ■ Yellow row = base WACC   ■ Blue shading = alternating rows</t>
  </si>
  <si>
    <t>Semiconductors</t>
  </si>
  <si>
    <t>Technology</t>
  </si>
  <si>
    <t>Revenue (ttm)</t>
  </si>
  <si>
    <t>165.22B</t>
  </si>
  <si>
    <t>IPO Date</t>
  </si>
  <si>
    <t>Employees</t>
  </si>
  <si>
    <t>Net income (ttm)</t>
  </si>
  <si>
    <t>86.6B</t>
  </si>
  <si>
    <t>EPS (ttm)</t>
  </si>
  <si>
    <t>Stock exchange</t>
  </si>
  <si>
    <t>Ticker symbol</t>
  </si>
  <si>
    <t>PE Ratio</t>
  </si>
  <si>
    <t>NASDAQ</t>
  </si>
  <si>
    <t>NVDA</t>
  </si>
  <si>
    <t>EV/EBITDA</t>
  </si>
  <si>
    <t>Dividend</t>
  </si>
  <si>
    <t>ROE (%)</t>
  </si>
  <si>
    <t>NVIDIA Corporation — Non-Recurring Items &amp; Model Adjustments</t>
  </si>
  <si>
    <t>Documents all one-time, non-recurring, and adjusted items excluded from or adjusted within the DCF model. Per Phase A spec — all items with justifications.</t>
  </si>
  <si>
    <t>Section 1 — One-Time / Non-Recurring Items  (Historical)</t>
  </si>
  <si>
    <t>#</t>
  </si>
  <si>
    <t>Item</t>
  </si>
  <si>
    <t>FY Year</t>
  </si>
  <si>
    <t>Amount ($M)</t>
  </si>
  <si>
    <t>P&amp;L Line</t>
  </si>
  <si>
    <t>Justification / Treatment</t>
  </si>
  <si>
    <t>Source</t>
  </si>
  <si>
    <t>1</t>
  </si>
  <si>
    <t>Arm Holdings Acquisition Termination Fee</t>
  </si>
  <si>
    <t>FY2023</t>
  </si>
  <si>
    <t>1,350</t>
  </si>
  <si>
    <t>Acquisition termination cost (OPEX)</t>
  </si>
  <si>
    <t>One-time charge: NVIDIA terminated its $40B Arm acquisition in Feb 2022 due to regulatory opposition. Fee paid to SoftBank. TREATMENT: Included in FY2023 historical EBIT but EXCLUDED from FY2024F+ projections (zeroed in 04a row 88). Excluded from FCFF normalised EBIT in 05a row 9.</t>
  </si>
  <si>
    <t>NVIDIA 10-K FY2023, Note 2</t>
  </si>
  <si>
    <t>2</t>
  </si>
  <si>
    <t>Deferred Income Tax Benefit (FY2023)</t>
  </si>
  <si>
    <t>(2,164)</t>
  </si>
  <si>
    <t>Income tax (CF Statement)</t>
  </si>
  <si>
    <t>Large non-cash deferred tax benefit in FY2023 drove negative effective tax rate (-4.5%). TREATMENT: Reflected in historical data only. Forward ETR normalised to 15% base case (00_Assumptions row 36).</t>
  </si>
  <si>
    <t>NVIDIA 10-K FY2023, Cash Flow</t>
  </si>
  <si>
    <t>3</t>
  </si>
  <si>
    <t>Gains on Non-Marketable Equity Securities</t>
  </si>
  <si>
    <t>FY2024–FY2025</t>
  </si>
  <si>
    <t>238 / 1,030</t>
  </si>
  <si>
    <t>Other income (below EBIT)</t>
  </si>
  <si>
    <t>Non-cash gains on strategic equity investments (AI/startup portfolio). TREATMENT: Included in historical 'Other, net'. Not projected forward in base case — excluded from FCFF unlevered framework. FY2026F+ Other net assumption = $1,000M flat (conservative).</t>
  </si>
  <si>
    <t>NVIDIA 10-K FY2024-FY2025</t>
  </si>
  <si>
    <t>Section 2 — Model Normalisation Notes</t>
  </si>
  <si>
    <t>Topic</t>
  </si>
  <si>
    <t>Normalisation Applied</t>
  </si>
  <si>
    <t>Stock-Based Compensation (SBC)</t>
  </si>
  <si>
    <t>Added back in CFO but NOT in FCFF (unlevered framework). SBC FY2025 = $4,737M (~3.6% revenue). Not projected separately — treated as operating cost already embedded in EBIT margins.</t>
  </si>
  <si>
    <t>Standard FCFF treatment: SBC is non-cash but real economic cost.</t>
  </si>
  <si>
    <t>Capex as % of Revenue</t>
  </si>
  <si>
    <t>FY2026F: 3.0% of revenue (linked to 00_Assumptions!C42 / named range Capex_pct). Historical: FY2023=6.8%, FY2024=1.8%, FY2025=2.5%. 3.0% forward reflects NVIDIA's asset-light fabless model.</t>
  </si>
  <si>
    <t>Fabless model = low capex intensity vs. foundries (TSMC capex ~25%+).</t>
  </si>
  <si>
    <t>D&amp;A Projection</t>
  </si>
  <si>
    <t>FY2026F D&amp;A = $3,046M (from 11_DA schedule, 5-yr avg useful life). Grows with capex additions. Linked directly from DA schedule.</t>
  </si>
  <si>
    <t>D&amp;A must track capex spend; using fixed asset roll-forward is most accurate.</t>
  </si>
  <si>
    <t>Year</t>
  </si>
  <si>
    <t>Common-size Cashflow statement</t>
  </si>
  <si>
    <t>Ratio Analysis of NVIDIA</t>
  </si>
  <si>
    <t>Return and Solvency Ratios</t>
  </si>
  <si>
    <t>Return on Capital Employed (ROCE)</t>
  </si>
  <si>
    <t>Growth Analysis</t>
  </si>
  <si>
    <t>Retained Earnings%</t>
  </si>
  <si>
    <t>SalesGrowth</t>
  </si>
  <si>
    <t>Return on Equity% (ROE)</t>
  </si>
  <si>
    <t>GrossMargin</t>
  </si>
  <si>
    <t>Self Sustained Growth Rate</t>
  </si>
  <si>
    <t>EBITDA Growth</t>
  </si>
  <si>
    <t>Interest Coverage Ratio</t>
  </si>
  <si>
    <t>EBIT Growth</t>
  </si>
  <si>
    <t>Net Profit Growth</t>
  </si>
  <si>
    <t>Operational Efficiency Ratios</t>
  </si>
  <si>
    <t>Debtor Turnover Ratio</t>
  </si>
  <si>
    <t>Profitability Ratio</t>
  </si>
  <si>
    <t>Creditor Turnover Ratio</t>
  </si>
  <si>
    <t>Gross Margin</t>
  </si>
  <si>
    <t>Inventory Turnover</t>
  </si>
  <si>
    <t>Operating Margin</t>
  </si>
  <si>
    <t>Fixed Asset Turnover</t>
  </si>
  <si>
    <t>EBITDA Margin</t>
  </si>
  <si>
    <t>Capital Turnover Ratio</t>
  </si>
  <si>
    <t>EBIT Margin</t>
  </si>
  <si>
    <t>Payable Days</t>
  </si>
  <si>
    <t>EBT Margin</t>
  </si>
  <si>
    <t>Inventory Days</t>
  </si>
  <si>
    <t>Net Profit Margin</t>
  </si>
  <si>
    <t>Receivables Days</t>
  </si>
  <si>
    <t>Cash Conversion Cycle</t>
  </si>
  <si>
    <t>Liquidity Ratios</t>
  </si>
  <si>
    <t>Current Ratio</t>
  </si>
  <si>
    <t>Cash Flow Performance Ratios</t>
  </si>
  <si>
    <t>Quik Ratio</t>
  </si>
  <si>
    <t>CFO/Sales</t>
  </si>
  <si>
    <t>Cash Ratio</t>
  </si>
  <si>
    <t>CFO/Total Assets</t>
  </si>
  <si>
    <t>CFO/Total Debt</t>
  </si>
  <si>
    <t>Solvency Ratios</t>
  </si>
  <si>
    <t>Debt-to-Equity Ratio</t>
  </si>
  <si>
    <t>Debt Ratio</t>
  </si>
  <si>
    <t>Equity Multiplier (leverage ratio)</t>
  </si>
  <si>
    <t>Operating Efficiency Ratios</t>
  </si>
  <si>
    <t>Sales expenses%Sales</t>
  </si>
  <si>
    <t>Depreciation%Sales</t>
  </si>
  <si>
    <t>OperatingIncome%Sales</t>
  </si>
  <si>
    <t>Working capital schedule</t>
  </si>
  <si>
    <t>($ in million)</t>
  </si>
  <si>
    <t>Sales</t>
  </si>
  <si>
    <t>Total short-term operating assets</t>
  </si>
  <si>
    <t>Total short-term operating liabilities</t>
  </si>
  <si>
    <t>Net Working capital</t>
  </si>
  <si>
    <t>Changes in working capital</t>
  </si>
  <si>
    <t>DSO</t>
  </si>
  <si>
    <t>DIO</t>
  </si>
  <si>
    <t>DPO</t>
  </si>
  <si>
    <t>CCC</t>
  </si>
  <si>
    <t>Prepaid %  of Operating Expenses</t>
  </si>
  <si>
    <t>Accrued % of COGS + OpEx</t>
  </si>
  <si>
    <t>Growth rate</t>
  </si>
  <si>
    <t>R&amp;D</t>
  </si>
  <si>
    <t>CAPEX</t>
  </si>
  <si>
    <t>Fixed assets model</t>
  </si>
  <si>
    <t>Long-term Asset Schedule</t>
  </si>
  <si>
    <t>$ in millions</t>
  </si>
  <si>
    <t xml:space="preserve"> CaPex </t>
  </si>
  <si>
    <t>CaPex, % Revenue</t>
  </si>
  <si>
    <t>Property and Equipment Schedule</t>
  </si>
  <si>
    <t>Opening balance</t>
  </si>
  <si>
    <t xml:space="preserve">Add: CaPex </t>
  </si>
  <si>
    <t>Total Fixed Assets</t>
  </si>
  <si>
    <t>Less: Depreciation</t>
  </si>
  <si>
    <t>Depreciation % of Gross PP&amp;E</t>
  </si>
  <si>
    <t>Closing Balance</t>
  </si>
  <si>
    <t>Fixed asset turnover ratio</t>
  </si>
  <si>
    <t>Other intangible asset schedule</t>
  </si>
  <si>
    <t>Add: intangible Purchases</t>
  </si>
  <si>
    <t>intangible Purchases % CaPex</t>
  </si>
  <si>
    <t>Total Fixed assets</t>
  </si>
  <si>
    <t>Less: Amortization</t>
  </si>
  <si>
    <t>Closing balance</t>
  </si>
  <si>
    <t>CapEx % Rev</t>
  </si>
  <si>
    <t>Depreciation % PP&amp;E</t>
  </si>
  <si>
    <t>Future Amortization expenses 10-k</t>
  </si>
  <si>
    <t>(in millions $)</t>
  </si>
  <si>
    <t>2031 and thereafter</t>
  </si>
  <si>
    <t>Total</t>
  </si>
  <si>
    <t>Debt Schedule</t>
  </si>
  <si>
    <t>Add/Less: Debt incurred (repaid)</t>
  </si>
  <si>
    <t>Average Debt Balance</t>
  </si>
  <si>
    <t>Interest Expenses</t>
  </si>
  <si>
    <t>Net Interest Expenses</t>
  </si>
  <si>
    <t>Interest rate (pre tax)</t>
  </si>
  <si>
    <t>Assumptions Net debt flow ( through note 11-debt 10-k 2025 )</t>
  </si>
  <si>
    <t xml:space="preserve">2027 F </t>
  </si>
  <si>
    <t>Assumptions Interest rate (pre tax) ( through note 11-debt 10-k 2025)</t>
  </si>
  <si>
    <t>S&amp;P 500 2 years Daily return</t>
  </si>
  <si>
    <t>NVIDIA 2 years Daily return</t>
  </si>
  <si>
    <t>Date</t>
  </si>
  <si>
    <t>Price</t>
  </si>
  <si>
    <t>Return</t>
  </si>
  <si>
    <t>Beta</t>
  </si>
  <si>
    <t>Beta Drifting ( Blume Method)</t>
  </si>
  <si>
    <t>Levered raw beta</t>
  </si>
  <si>
    <t xml:space="preserve">Raw beta weight </t>
  </si>
  <si>
    <t>Market beta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</si>
  <si>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</si>
  <si>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</si>
  <si>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</si>
  <si>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</si>
  <si>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</si>
  <si>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</si>
  <si>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</si>
  <si>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</si>
  <si>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</si>
  <si>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</si>
  <si>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</si>
  <si>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</si>
  <si>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</si>
  <si>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</si>
  <si>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</si>
  <si>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</si>
  <si>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</si>
  <si>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</si>
  <si>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</si>
  <si>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</si>
  <si>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</si>
  <si>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</si>
  <si>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</si>
  <si>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</si>
  <si>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</si>
  <si>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</si>
  <si>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WACC = % of equity * Cost of equity + % of debt * Cost of debt * (1 - Corporate tax rate)</t>
  </si>
  <si>
    <t>Cost of equity =  Risk-free return+ company Beta * (Market Risk Premium - Risk-free return)</t>
  </si>
  <si>
    <t>WACC (October 17, 2025)</t>
  </si>
  <si>
    <t>Cost of Debt</t>
  </si>
  <si>
    <t>Market cap</t>
  </si>
  <si>
    <t>% OF Equity</t>
  </si>
  <si>
    <t>Pre-Tax Cost of Debt</t>
  </si>
  <si>
    <t>Cost of equity</t>
  </si>
  <si>
    <t>Effective Tax Rate</t>
  </si>
  <si>
    <t xml:space="preserve">Risk Free rate </t>
  </si>
  <si>
    <t>Post Tax Cost of Debt</t>
  </si>
  <si>
    <t>Market Risk Premium</t>
  </si>
  <si>
    <t>Debt</t>
  </si>
  <si>
    <t>% of Debt</t>
  </si>
  <si>
    <t>Tax Rate</t>
  </si>
  <si>
    <t>52 Week High/ Low</t>
  </si>
  <si>
    <t>52 Week High</t>
  </si>
  <si>
    <t>52 Week Low</t>
  </si>
  <si>
    <t>Close/Last</t>
  </si>
  <si>
    <t>Open</t>
  </si>
  <si>
    <t>Volume</t>
  </si>
  <si>
    <t>18/10/2024</t>
  </si>
  <si>
    <t>176,09M</t>
  </si>
  <si>
    <t>17/10/2024</t>
  </si>
  <si>
    <t>306,44M</t>
  </si>
  <si>
    <t>16/10/2024</t>
  </si>
  <si>
    <t>264,88M</t>
  </si>
  <si>
    <t>15/10/2024</t>
  </si>
  <si>
    <t>377,83M</t>
  </si>
  <si>
    <t>14/10/2024</t>
  </si>
  <si>
    <t>232,35M</t>
  </si>
  <si>
    <t>170,21M</t>
  </si>
  <si>
    <t>242,31M</t>
  </si>
  <si>
    <t>246,19M</t>
  </si>
  <si>
    <t>285,72M</t>
  </si>
  <si>
    <t>346,25M</t>
  </si>
  <si>
    <t>244,47M</t>
  </si>
  <si>
    <t>Comparable Companies Analysis for NVIDIA</t>
  </si>
  <si>
    <t>Market Data</t>
  </si>
  <si>
    <t>Financials</t>
  </si>
  <si>
    <t>Valuation</t>
  </si>
  <si>
    <t>Company</t>
  </si>
  <si>
    <t>Share 
Price</t>
  </si>
  <si>
    <t>EPS</t>
  </si>
  <si>
    <t>Shares Outstanding</t>
  </si>
  <si>
    <t>Market Capit-alization</t>
  </si>
  <si>
    <t>Net Debt</t>
  </si>
  <si>
    <t>Enterprise 
Value</t>
  </si>
  <si>
    <t>EV/Revenue</t>
  </si>
  <si>
    <t>P/E</t>
  </si>
  <si>
    <t>AMD</t>
  </si>
  <si>
    <t>Intel</t>
  </si>
  <si>
    <t>Qualcomm (QCOM)</t>
  </si>
  <si>
    <t>Broadcom (AVGO)</t>
  </si>
  <si>
    <t>TSMC</t>
  </si>
  <si>
    <t>75th Percentile</t>
  </si>
  <si>
    <t>Average</t>
  </si>
  <si>
    <t>Median</t>
  </si>
  <si>
    <t>25th Percentile</t>
  </si>
  <si>
    <t>NVIDIA Valuation</t>
  </si>
  <si>
    <t>Implied Enterprise Value</t>
  </si>
  <si>
    <t>Implied Market Value</t>
  </si>
  <si>
    <t>Implied Value Per Share</t>
  </si>
  <si>
    <t>NVIDIA Corporation — Financial Model Notes</t>
  </si>
  <si>
    <t>Model metadata, version history, and data source documentation</t>
  </si>
  <si>
    <t>Field</t>
  </si>
  <si>
    <t>Notes</t>
  </si>
  <si>
    <t>Last Updated</t>
  </si>
  <si>
    <t>Version</t>
  </si>
  <si>
    <t>1.0</t>
  </si>
  <si>
    <t>Initial release</t>
  </si>
  <si>
    <t>Oct 2025</t>
  </si>
  <si>
    <t>Author</t>
  </si>
  <si>
    <t>Primary model builder</t>
  </si>
  <si>
    <t>Valuation Date</t>
  </si>
  <si>
    <t>FY2025 close; market data Oct 2025</t>
  </si>
  <si>
    <t>Data Sources</t>
  </si>
  <si>
    <t>All historical data from 10-K filings</t>
  </si>
  <si>
    <t>Model Purpose</t>
  </si>
  <si>
    <t>L3 DCF Valuation — NVIDIA Corporation (NVDA)</t>
  </si>
  <si>
    <t>FCFF / Gordon Growth + Exit Multiple cross-check</t>
  </si>
  <si>
    <t>Currency</t>
  </si>
  <si>
    <t>USD millions (unless stated)</t>
  </si>
  <si>
    <t>All $ figures in $M</t>
  </si>
  <si>
    <t>Fiscal Year End</t>
  </si>
  <si>
    <t>January 31</t>
  </si>
  <si>
    <t>NVIDIA FY ends late Jan/early Feb</t>
  </si>
  <si>
    <t>Forecast Period</t>
  </si>
  <si>
    <t>FY2026F – FY2030F (5 years)</t>
  </si>
  <si>
    <t>Base case only</t>
  </si>
  <si>
    <t>12.91%</t>
  </si>
  <si>
    <t>Blume-adjusted beta; CAPM</t>
  </si>
  <si>
    <t>Terminal Growth</t>
  </si>
  <si>
    <t>4.00%</t>
  </si>
  <si>
    <t>Long-run GDP growth proxy</t>
  </si>
  <si>
    <t>Version History</t>
  </si>
  <si>
    <t>Change</t>
  </si>
  <si>
    <t>Initial model build — historical IS/BS/CF, WACC, Comps, DCF</t>
  </si>
  <si>
    <t>Step 2: added named ranges, FCFF validation, data_loader.py</t>
  </si>
  <si>
    <t>Step 3: fixed Other net assumption, filled notes, adjustments tab</t>
  </si>
  <si>
    <t xml:space="preserve">  NVIDIA Financial Model — Validation &amp; Reconciliation Checks</t>
  </si>
  <si>
    <t xml:space="preserve">  All checks should equal ZERO.  Red = fail (tolerance &gt; 0.01).  Green = pass.  Run Ctrl+Alt+F9 before reviewing.</t>
  </si>
  <si>
    <t xml:space="preserve">  Check 1  —  Balance Sheet Tie  :  Total Assets = Total Liabilities + Equity</t>
  </si>
  <si>
    <t>Metric</t>
  </si>
  <si>
    <t>Expected</t>
  </si>
  <si>
    <t>Total Assets ($M)</t>
  </si>
  <si>
    <t>Total Liab. + Equity ($M)</t>
  </si>
  <si>
    <t>Difference  (should = 0)</t>
  </si>
  <si>
    <t>0</t>
  </si>
  <si>
    <t xml:space="preserve">  Check 2  —  Cash Flow Reconciliation  :  CFO + CFI + CFF = Net Change in Cash</t>
  </si>
  <si>
    <t>CFO ($M)</t>
  </si>
  <si>
    <t>CFI ($M)</t>
  </si>
  <si>
    <t>CFF ($M)</t>
  </si>
  <si>
    <t>CFO+CFI+CFF  (sum)</t>
  </si>
  <si>
    <t>Net Change in Cash (per CF stmt)</t>
  </si>
  <si>
    <t xml:space="preserve">  Check 3  —  Revenue Cross-Check  :  01_Historical_IS  vs  05a_FCFF</t>
  </si>
  <si>
    <t>FY2024</t>
  </si>
  <si>
    <t>FY2025</t>
  </si>
  <si>
    <t>Revenue from IS  ($M)</t>
  </si>
  <si>
    <t>Revenue from FCFF  ($M)</t>
  </si>
  <si>
    <t xml:space="preserve">  Check 4  —  DCF Output Snapshot  (model outputs at a glance)</t>
  </si>
  <si>
    <t>Terminal Growth Rate (g)</t>
  </si>
  <si>
    <t>Sum of PV FCFs  ($M)</t>
  </si>
  <si>
    <t>Terminal Value  ($M)</t>
  </si>
  <si>
    <t>PV of Terminal Value  ($M)</t>
  </si>
  <si>
    <t>Enterprise Value  ($M)</t>
  </si>
  <si>
    <t>Net Debt / (Cash)  ($M)</t>
  </si>
  <si>
    <t>Equity Value  ($M)</t>
  </si>
  <si>
    <t>Diluted Shares  (M)</t>
  </si>
  <si>
    <t>Implied Price — Gordon Growth</t>
  </si>
  <si>
    <t>Implied Price — Exit Multiple</t>
  </si>
  <si>
    <t>Market Price  (Oct 17 2025)</t>
  </si>
  <si>
    <t>Upside / Downside (GG)</t>
  </si>
  <si>
    <t xml:space="preserve">  Check 5  —  FCFF → Operating CF Reconciliation  :  Part A = arithmetic self-check  |  Part B = CFO boundary (informational)</t>
  </si>
  <si>
    <t xml:space="preserve">  Part A: FCFF = NOPAT + D&amp;A − CapEx − ΔNWC (all from 05a_FCFF).  Part B: FCFF vs CFO+CapEx; residual = SBC + deferred tax + other non-cash — expected, not an error.</t>
  </si>
  <si>
    <t xml:space="preserve">  Part A — Schedule Arithmetic Self-Check  ($M)</t>
  </si>
  <si>
    <t>Target</t>
  </si>
  <si>
    <t>Status</t>
  </si>
  <si>
    <t>FCFF — from schedule</t>
  </si>
  <si>
    <t>FCFF — recalculated (NOPAT+DA−CapEx−ΔNWC)</t>
  </si>
  <si>
    <t>Difference  (target = 0)</t>
  </si>
  <si>
    <t>✓ PASS</t>
  </si>
  <si>
    <t xml:space="preserve">  Part B — CFO Boundary Check  ($M)  [Informational]</t>
  </si>
  <si>
    <t>FCFF — 05a_FCFF schedule ($M)</t>
  </si>
  <si>
    <t>CFO + CapEx  (reported FCF from CF stmt, $M)</t>
  </si>
  <si>
    <t>Residual  (FCFF minus CFO+CapEx)</t>
  </si>
  <si>
    <t>= SBC + deferred tax + gains/other (see below)</t>
  </si>
  <si>
    <t xml:space="preserve">    Explained: SBC + deferred tax + gains/losses + other ($M)</t>
  </si>
  <si>
    <t>Remaining unexplained diff = NWC scope difference (operating vs total CF). Expected, not a model error.</t>
  </si>
  <si>
    <t xml:space="preserve">  Check 5 Status:  Part A — ✓ PASS   |   Part B — Informational   |   Overall — ✓ PASS</t>
  </si>
  <si>
    <t>Aditya Gupta</t>
  </si>
  <si>
    <t>NVIDIA 10-K FY2025 (SEC EDGAR), Yahoo Finance</t>
  </si>
  <si>
    <t xml:space="preserve">Aditya Gupta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</si>
</sst>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[$-409]mmm\-yy;@"/>
    <numFmt numFmtId="166" formatCode="0.0%"/>
    <numFmt numFmtId="167" formatCode="0_);\(0\)"/>
    <numFmt numFmtId="168" formatCode="&quot;$&quot;#,##0"/>
    <numFmt numFmtId="169" formatCode="_-* #,##0_-;\-* #,##0_-;_-* &quot;-&quot;??_-;_-@"/>
    <numFmt numFmtId="170" formatCode="#,##0.0\x"/>
    <numFmt numFmtId="171" formatCode="_-* #,##0.00\ _€_-;\-* #,##0.00\ _€_-;_-* &quot;-&quot;??\ _€_-;_-@"/>
    <numFmt numFmtId="172" formatCode="&quot;$&quot;#,##0.00"/>
    <numFmt numFmtId="173" formatCode="&quot;$&quot;#,##0.00_);[Red]\(&quot;$&quot;#,##0.00\)"/>
    <numFmt numFmtId="174" formatCode="_(* #,##0.0_);_(* \(#,##0.0\);_(* &quot;-&quot;??_);_(@_)"/>
    <numFmt numFmtId="175" formatCode="0.0"/>
    <numFmt numFmtId="176" formatCode="#,##0_);\(#,##0\);\–_);@_)"/>
    <numFmt numFmtId="177" formatCode="#,##0_);\(#,##0\);\-\-_)"/>
    <numFmt numFmtId="178" formatCode="0.0000%"/>
    <numFmt numFmtId="179" formatCode="0.0000000"/>
    <numFmt numFmtId="180" formatCode="yyyy\A"/>
    <numFmt numFmtId="181" formatCode="\$#,##0.00"/>
    <numFmt numFmtId="182" formatCode="0\ &quot;years&quot;"/>
    <numFmt numFmtId="183" formatCode="\+0.00;\-0.00"/>
    <numFmt numFmtId="184" formatCode="\$0.00"/>
    <numFmt numFmtId="185" formatCode="0.0%;\-0.0%"/>
    <numFmt numFmtId="186" formatCode="#,##0.0;\(#,##0.0\);\-"/>
  </numFmts>
  <fonts count="9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1" tint="0.499984740745262"/>
      <name val="Aptos Narrow"/>
      <family val="2"/>
      <scheme val="minor"/>
    </font>
    <font>
      <sz val="11"/>
      <color theme="4"/>
      <name val="Arial"/>
      <family val="2"/>
    </font>
    <font>
      <sz val="11"/>
      <color rgb="FF0000FF"/>
      <name val="Arial"/>
      <family val="2"/>
    </font>
    <font>
      <b/>
      <sz val="13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252525"/>
      <name val="Arial"/>
      <family val="2"/>
    </font>
    <font>
      <b/>
      <sz val="11"/>
      <color theme="4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name val="Times New Roman"/>
      <family val="1"/>
    </font>
    <font>
      <sz val="12"/>
      <color theme="3" tint="9.9978637043366805E-2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8"/>
      <color rgb="FF293D68"/>
      <name val="Calibri"/>
      <family val="2"/>
    </font>
    <font>
      <sz val="12"/>
      <color rgb="FF0432FF"/>
      <name val="Calibri"/>
      <family val="2"/>
    </font>
    <font>
      <b/>
      <sz val="12"/>
      <color rgb="FF0432FF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Arial Narrow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111827"/>
      <name val="Aptos Narrow"/>
      <family val="2"/>
      <scheme val="minor"/>
    </font>
    <font>
      <b/>
      <sz val="12"/>
      <color rgb="FF111827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rgb="FF00B050"/>
      <name val="Aptos Narrow"/>
      <family val="2"/>
      <scheme val="minor"/>
    </font>
    <font>
      <b/>
      <sz val="16"/>
      <color rgb="FFFFFFFF"/>
      <name val="Calibri"/>
    </font>
    <font>
      <i/>
      <sz val="10"/>
      <color rgb="FFDDDDDD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1F1F1F"/>
      <name val="Calibri"/>
    </font>
    <font>
      <b/>
      <sz val="10"/>
      <color rgb="FF2E4D7B"/>
      <name val="Calibri"/>
    </font>
    <font>
      <sz val="9"/>
      <color rgb="FF595959"/>
      <name val="Calibri"/>
    </font>
    <font>
      <i/>
      <sz val="9"/>
      <color rgb="FF2E75B6"/>
      <name val="Calibri"/>
    </font>
    <font>
      <b/>
      <sz val="10"/>
      <name val="Calibri"/>
    </font>
    <font>
      <b/>
      <sz val="10"/>
      <color rgb="FF1D6B34"/>
      <name val="Calibri"/>
    </font>
    <font>
      <b/>
      <sz val="10"/>
      <color rgb="FF7B5900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color rgb="FF1F3864"/>
      <name val="Calibri"/>
    </font>
    <font>
      <b/>
      <sz val="10"/>
      <color rgb="FF1F1F1F"/>
      <name val="Calibri"/>
    </font>
    <font>
      <b/>
      <sz val="14"/>
      <color rgb="FFFFFFFF"/>
      <name val="Calibri"/>
    </font>
    <font>
      <i/>
      <sz val="10"/>
      <color rgb="FF595959"/>
      <name val="Calibri"/>
    </font>
    <font>
      <sz val="10"/>
      <name val="Calibri"/>
    </font>
    <font>
      <b/>
      <sz val="11"/>
      <name val="Aptos Narrow"/>
    </font>
    <font>
      <i/>
      <sz val="9"/>
      <name val="Aptos Narrow"/>
    </font>
    <font>
      <i/>
      <sz val="11"/>
      <name val="Aptos Narrow"/>
    </font>
    <font>
      <b/>
      <sz val="14"/>
      <color rgb="FFFFFFFF"/>
      <name val="Calibri"/>
    </font>
    <font>
      <sz val="10"/>
      <color rgb="FF2E5FA3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sz val="9"/>
      <color rgb="FF000000"/>
      <name val="Calibri"/>
    </font>
    <font>
      <sz val="11"/>
      <name val="Calibri"/>
    </font>
    <font>
      <i/>
      <sz val="10"/>
      <color rgb="FF595959"/>
      <name val="Calibri"/>
    </font>
    <font>
      <sz val="10"/>
      <color rgb="FF000000"/>
      <name val="Calibri"/>
    </font>
  </fonts>
  <fills count="4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9" tint="0.79998168889431442"/>
      </patternFill>
    </fill>
    <fill>
      <patternFill patternType="solid">
        <fgColor theme="3" tint="0.249977111117893"/>
        <bgColor theme="9" tint="0.79998168889431442"/>
      </patternFill>
    </fill>
    <fill>
      <patternFill patternType="solid">
        <fgColor theme="3" tint="9.9978637043366805E-2"/>
        <bgColor theme="9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rgb="FF2A3E68"/>
      </patternFill>
    </fill>
    <fill>
      <patternFill patternType="solid">
        <fgColor theme="0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3864"/>
      </patternFill>
    </fill>
    <fill>
      <patternFill patternType="solid">
        <fgColor rgb="FF2E4D7B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D6B34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5FA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4">
    <xf numFmtId="0" fontId="0" fillId="0" borderId="0"/>
    <xf numFmtId="44" fontId="6" fillId="0" borderId="0"/>
    <xf numFmtId="9" fontId="6" fillId="0" borderId="0"/>
    <xf numFmtId="43" fontId="6" fillId="0" borderId="0"/>
    <xf numFmtId="186" fontId="15" fillId="0" borderId="4">
      <alignment vertical="center"/>
    </xf>
    <xf numFmtId="0" fontId="34" fillId="0" borderId="0"/>
    <xf numFmtId="9" fontId="34" fillId="0" borderId="0"/>
    <xf numFmtId="43" fontId="6" fillId="0" borderId="0"/>
    <xf numFmtId="0" fontId="45" fillId="0" borderId="0">
      <alignment vertical="top"/>
      <protection locked="0"/>
    </xf>
    <xf numFmtId="0" fontId="19" fillId="24" borderId="0"/>
    <xf numFmtId="0" fontId="6" fillId="0" borderId="0"/>
    <xf numFmtId="9" fontId="6" fillId="0" borderId="0"/>
    <xf numFmtId="0" fontId="46" fillId="0" borderId="0"/>
    <xf numFmtId="0" fontId="59" fillId="0" borderId="0"/>
  </cellStyleXfs>
  <cellXfs count="751">
    <xf numFmtId="0" fontId="0" fillId="0" borderId="0" xfId="0"/>
    <xf numFmtId="0" fontId="2" fillId="0" borderId="0" xfId="0" applyFont="1"/>
    <xf numFmtId="0" fontId="1" fillId="4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2" fillId="0" borderId="2" xfId="0" applyFont="1" applyBorder="1"/>
    <xf numFmtId="3" fontId="0" fillId="0" borderId="2" xfId="0" applyNumberFormat="1" applyBorder="1" applyAlignment="1">
      <alignment horizontal="center" vertical="center"/>
    </xf>
    <xf numFmtId="9" fontId="4" fillId="0" borderId="0" xfId="2" applyFont="1"/>
    <xf numFmtId="9" fontId="5" fillId="0" borderId="0" xfId="2" applyFont="1"/>
    <xf numFmtId="9" fontId="3" fillId="3" borderId="0" xfId="2" applyFont="1" applyFill="1"/>
    <xf numFmtId="0" fontId="3" fillId="4" borderId="0" xfId="0" applyFont="1" applyFill="1"/>
    <xf numFmtId="3" fontId="3" fillId="4" borderId="0" xfId="0" applyNumberFormat="1" applyFont="1" applyFill="1"/>
    <xf numFmtId="2" fontId="0" fillId="0" borderId="0" xfId="0" applyNumberFormat="1"/>
    <xf numFmtId="0" fontId="0" fillId="5" borderId="0" xfId="0" applyFill="1"/>
    <xf numFmtId="0" fontId="0" fillId="4" borderId="0" xfId="0" applyFill="1"/>
    <xf numFmtId="0" fontId="8" fillId="6" borderId="0" xfId="0" applyFont="1" applyFill="1" applyAlignment="1">
      <alignment horizontal="center" vertical="center"/>
    </xf>
    <xf numFmtId="2" fontId="0" fillId="5" borderId="0" xfId="1" applyNumberFormat="1" applyFont="1" applyFill="1"/>
    <xf numFmtId="2" fontId="0" fillId="4" borderId="0" xfId="1" applyNumberFormat="1" applyFont="1" applyFill="1"/>
    <xf numFmtId="0" fontId="0" fillId="5" borderId="0" xfId="1" applyNumberFormat="1" applyFont="1" applyFill="1"/>
    <xf numFmtId="0" fontId="0" fillId="4" borderId="0" xfId="1" applyNumberFormat="1" applyFont="1" applyFill="1"/>
    <xf numFmtId="3" fontId="0" fillId="4" borderId="0" xfId="1" applyNumberFormat="1" applyFont="1" applyFill="1"/>
    <xf numFmtId="9" fontId="0" fillId="5" borderId="0" xfId="2" applyFont="1" applyFill="1"/>
    <xf numFmtId="9" fontId="0" fillId="4" borderId="0" xfId="2" applyFont="1" applyFill="1"/>
    <xf numFmtId="2" fontId="0" fillId="5" borderId="0" xfId="0" applyNumberFormat="1" applyFill="1"/>
    <xf numFmtId="2" fontId="0" fillId="4" borderId="0" xfId="0" applyNumberFormat="1" applyFill="1"/>
    <xf numFmtId="0" fontId="2" fillId="5" borderId="0" xfId="0" applyFont="1" applyFill="1"/>
    <xf numFmtId="0" fontId="2" fillId="4" borderId="0" xfId="0" applyFont="1" applyFill="1"/>
    <xf numFmtId="0" fontId="10" fillId="6" borderId="0" xfId="0" applyFont="1" applyFill="1"/>
    <xf numFmtId="0" fontId="3" fillId="6" borderId="0" xfId="0" applyFont="1" applyFill="1"/>
    <xf numFmtId="0" fontId="3" fillId="7" borderId="0" xfId="0" applyFont="1" applyFill="1"/>
    <xf numFmtId="0" fontId="11" fillId="0" borderId="0" xfId="0" applyFont="1" applyAlignment="1">
      <alignment vertical="center" wrapText="1"/>
    </xf>
    <xf numFmtId="164" fontId="0" fillId="0" borderId="0" xfId="3" applyNumberFormat="1" applyFont="1"/>
    <xf numFmtId="164" fontId="17" fillId="0" borderId="0" xfId="3" applyNumberFormat="1" applyFont="1" applyAlignment="1">
      <alignment horizontal="right" vertical="center"/>
    </xf>
    <xf numFmtId="164" fontId="16" fillId="0" borderId="0" xfId="3" applyNumberFormat="1" applyFont="1" applyAlignment="1">
      <alignment horizontal="right" vertical="center"/>
    </xf>
    <xf numFmtId="3" fontId="2" fillId="5" borderId="0" xfId="1" applyNumberFormat="1" applyFont="1" applyFill="1"/>
    <xf numFmtId="3" fontId="6" fillId="4" borderId="0" xfId="1" applyNumberFormat="1" applyFill="1"/>
    <xf numFmtId="3" fontId="6" fillId="5" borderId="0" xfId="1" applyNumberFormat="1" applyFill="1"/>
    <xf numFmtId="164" fontId="2" fillId="4" borderId="0" xfId="3" applyNumberFormat="1" applyFont="1" applyFill="1"/>
    <xf numFmtId="0" fontId="1" fillId="5" borderId="0" xfId="0" applyFont="1" applyFill="1"/>
    <xf numFmtId="0" fontId="4" fillId="5" borderId="0" xfId="0" applyFont="1" applyFill="1"/>
    <xf numFmtId="0" fontId="4" fillId="4" borderId="0" xfId="0" applyFont="1" applyFill="1"/>
    <xf numFmtId="0" fontId="5" fillId="4" borderId="0" xfId="0" applyFont="1" applyFill="1"/>
    <xf numFmtId="0" fontId="7" fillId="6" borderId="0" xfId="0" applyFont="1" applyFill="1" applyAlignment="1">
      <alignment horizontal="center" vertical="center"/>
    </xf>
    <xf numFmtId="0" fontId="18" fillId="6" borderId="0" xfId="0" applyFont="1" applyFill="1"/>
    <xf numFmtId="0" fontId="3" fillId="9" borderId="0" xfId="0" applyFont="1" applyFill="1"/>
    <xf numFmtId="164" fontId="4" fillId="5" borderId="0" xfId="3" applyNumberFormat="1" applyFont="1" applyFill="1" applyAlignment="1">
      <alignment horizontal="center" vertical="center"/>
    </xf>
    <xf numFmtId="164" fontId="4" fillId="4" borderId="0" xfId="3" applyNumberFormat="1" applyFont="1" applyFill="1" applyAlignment="1">
      <alignment horizontal="center" vertical="center"/>
    </xf>
    <xf numFmtId="164" fontId="3" fillId="3" borderId="0" xfId="3" applyNumberFormat="1" applyFont="1" applyFill="1" applyAlignment="1">
      <alignment horizontal="center" vertical="center"/>
    </xf>
    <xf numFmtId="164" fontId="3" fillId="9" borderId="0" xfId="3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 indent="2"/>
    </xf>
    <xf numFmtId="164" fontId="11" fillId="0" borderId="0" xfId="3" applyNumberFormat="1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9" fontId="1" fillId="4" borderId="0" xfId="2" applyFont="1" applyFill="1"/>
    <xf numFmtId="9" fontId="1" fillId="5" borderId="0" xfId="2" applyFont="1" applyFill="1"/>
    <xf numFmtId="0" fontId="8" fillId="4" borderId="0" xfId="0" applyFont="1" applyFill="1" applyAlignment="1">
      <alignment vertical="center"/>
    </xf>
    <xf numFmtId="9" fontId="4" fillId="5" borderId="0" xfId="3" applyNumberFormat="1" applyFont="1" applyFill="1" applyAlignment="1">
      <alignment horizontal="center" vertical="center"/>
    </xf>
    <xf numFmtId="9" fontId="4" fillId="4" borderId="0" xfId="3" applyNumberFormat="1" applyFont="1" applyFill="1" applyAlignment="1">
      <alignment horizontal="center" vertical="center"/>
    </xf>
    <xf numFmtId="2" fontId="0" fillId="0" borderId="0" xfId="3" applyNumberFormat="1" applyFont="1"/>
    <xf numFmtId="37" fontId="0" fillId="0" borderId="0" xfId="3" applyNumberFormat="1" applyFont="1"/>
    <xf numFmtId="37" fontId="2" fillId="5" borderId="0" xfId="3" applyNumberFormat="1" applyFont="1" applyFill="1"/>
    <xf numFmtId="37" fontId="2" fillId="4" borderId="0" xfId="3" applyNumberFormat="1" applyFont="1" applyFill="1"/>
    <xf numFmtId="37" fontId="0" fillId="5" borderId="0" xfId="3" applyNumberFormat="1" applyFont="1" applyFill="1"/>
    <xf numFmtId="37" fontId="0" fillId="4" borderId="0" xfId="3" applyNumberFormat="1" applyFont="1" applyFill="1"/>
    <xf numFmtId="0" fontId="0" fillId="5" borderId="0" xfId="3" applyNumberFormat="1" applyFont="1" applyFill="1"/>
    <xf numFmtId="3" fontId="0" fillId="5" borderId="0" xfId="3" applyNumberFormat="1" applyFont="1" applyFill="1"/>
    <xf numFmtId="0" fontId="0" fillId="4" borderId="0" xfId="3" applyNumberFormat="1" applyFont="1" applyFill="1"/>
    <xf numFmtId="3" fontId="0" fillId="4" borderId="0" xfId="3" applyNumberFormat="1" applyFont="1" applyFill="1"/>
    <xf numFmtId="3" fontId="2" fillId="4" borderId="0" xfId="3" applyNumberFormat="1" applyFont="1" applyFill="1"/>
    <xf numFmtId="10" fontId="0" fillId="5" borderId="0" xfId="3" applyNumberFormat="1" applyFont="1" applyFill="1"/>
    <xf numFmtId="10" fontId="0" fillId="4" borderId="0" xfId="3" applyNumberFormat="1" applyFont="1" applyFill="1"/>
    <xf numFmtId="0" fontId="8" fillId="6" borderId="0" xfId="0" applyFont="1" applyFill="1"/>
    <xf numFmtId="0" fontId="0" fillId="6" borderId="0" xfId="0" applyFill="1"/>
    <xf numFmtId="2" fontId="19" fillId="6" borderId="0" xfId="3" applyNumberFormat="1" applyFont="1" applyFill="1"/>
    <xf numFmtId="0" fontId="19" fillId="6" borderId="0" xfId="0" applyFont="1" applyFill="1"/>
    <xf numFmtId="1" fontId="3" fillId="6" borderId="0" xfId="3" applyNumberFormat="1" applyFont="1" applyFill="1"/>
    <xf numFmtId="0" fontId="7" fillId="10" borderId="0" xfId="0" applyFont="1" applyFill="1"/>
    <xf numFmtId="2" fontId="19" fillId="10" borderId="0" xfId="3" applyNumberFormat="1" applyFont="1" applyFill="1"/>
    <xf numFmtId="0" fontId="7" fillId="2" borderId="0" xfId="0" applyFont="1" applyFill="1"/>
    <xf numFmtId="164" fontId="19" fillId="2" borderId="0" xfId="3" applyNumberFormat="1" applyFont="1" applyFill="1"/>
    <xf numFmtId="164" fontId="3" fillId="9" borderId="0" xfId="3" applyNumberFormat="1" applyFont="1" applyFill="1"/>
    <xf numFmtId="164" fontId="4" fillId="4" borderId="0" xfId="3" applyNumberFormat="1" applyFont="1" applyFill="1"/>
    <xf numFmtId="0" fontId="5" fillId="5" borderId="0" xfId="0" applyFont="1" applyFill="1"/>
    <xf numFmtId="164" fontId="4" fillId="5" borderId="0" xfId="3" applyNumberFormat="1" applyFont="1" applyFill="1"/>
    <xf numFmtId="164" fontId="3" fillId="3" borderId="0" xfId="3" applyNumberFormat="1" applyFont="1" applyFill="1"/>
    <xf numFmtId="37" fontId="4" fillId="0" borderId="0" xfId="3" applyNumberFormat="1" applyFont="1"/>
    <xf numFmtId="0" fontId="7" fillId="11" borderId="0" xfId="0" applyFont="1" applyFill="1"/>
    <xf numFmtId="0" fontId="1" fillId="6" borderId="0" xfId="3" applyNumberFormat="1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9" fontId="4" fillId="4" borderId="0" xfId="2" applyFont="1" applyFill="1"/>
    <xf numFmtId="2" fontId="0" fillId="0" borderId="0" xfId="2" applyNumberFormat="1" applyFont="1"/>
    <xf numFmtId="9" fontId="0" fillId="0" borderId="0" xfId="2" applyFont="1" applyAlignment="1">
      <alignment horizontal="center" vertical="center"/>
    </xf>
    <xf numFmtId="0" fontId="20" fillId="0" borderId="0" xfId="0" applyFont="1"/>
    <xf numFmtId="0" fontId="2" fillId="0" borderId="0" xfId="3" applyNumberFormat="1" applyFont="1"/>
    <xf numFmtId="164" fontId="5" fillId="0" borderId="0" xfId="3" applyNumberFormat="1" applyFont="1" applyAlignment="1">
      <alignment horizontal="center" vertical="center"/>
    </xf>
    <xf numFmtId="0" fontId="1" fillId="6" borderId="0" xfId="0" applyFont="1" applyFill="1"/>
    <xf numFmtId="0" fontId="1" fillId="6" borderId="0" xfId="3" applyNumberFormat="1" applyFont="1" applyFill="1"/>
    <xf numFmtId="0" fontId="1" fillId="12" borderId="0" xfId="0" applyFont="1" applyFill="1"/>
    <xf numFmtId="164" fontId="3" fillId="6" borderId="0" xfId="3" applyNumberFormat="1" applyFont="1" applyFill="1" applyAlignment="1">
      <alignment horizontal="center" vertical="center"/>
    </xf>
    <xf numFmtId="0" fontId="1" fillId="7" borderId="0" xfId="0" applyFont="1" applyFill="1"/>
    <xf numFmtId="164" fontId="3" fillId="8" borderId="0" xfId="3" applyNumberFormat="1" applyFont="1" applyFill="1" applyAlignment="1">
      <alignment horizontal="center" vertical="center"/>
    </xf>
    <xf numFmtId="164" fontId="5" fillId="4" borderId="0" xfId="3" applyNumberFormat="1" applyFont="1" applyFill="1" applyAlignment="1">
      <alignment horizontal="center" vertical="center"/>
    </xf>
    <xf numFmtId="0" fontId="3" fillId="6" borderId="0" xfId="3" applyNumberFormat="1" applyFont="1" applyFill="1"/>
    <xf numFmtId="164" fontId="4" fillId="0" borderId="0" xfId="3" applyNumberFormat="1" applyFont="1"/>
    <xf numFmtId="1" fontId="4" fillId="0" borderId="0" xfId="0" applyNumberFormat="1" applyFont="1"/>
    <xf numFmtId="37" fontId="3" fillId="6" borderId="0" xfId="3" applyNumberFormat="1" applyFont="1" applyFill="1"/>
    <xf numFmtId="164" fontId="0" fillId="0" borderId="0" xfId="0" applyNumberFormat="1"/>
    <xf numFmtId="0" fontId="3" fillId="12" borderId="0" xfId="0" applyFont="1" applyFill="1"/>
    <xf numFmtId="164" fontId="3" fillId="12" borderId="0" xfId="3" applyNumberFormat="1" applyFont="1" applyFill="1"/>
    <xf numFmtId="0" fontId="5" fillId="5" borderId="0" xfId="0" applyFont="1" applyFill="1" applyAlignment="1">
      <alignment wrapText="1"/>
    </xf>
    <xf numFmtId="164" fontId="5" fillId="5" borderId="0" xfId="3" applyNumberFormat="1" applyFont="1" applyFill="1" applyAlignment="1">
      <alignment horizontal="center" vertical="center"/>
    </xf>
    <xf numFmtId="164" fontId="5" fillId="4" borderId="0" xfId="3" applyNumberFormat="1" applyFont="1" applyFill="1"/>
    <xf numFmtId="0" fontId="5" fillId="13" borderId="0" xfId="0" applyFont="1" applyFill="1"/>
    <xf numFmtId="164" fontId="0" fillId="5" borderId="0" xfId="3" applyNumberFormat="1" applyFont="1" applyFill="1"/>
    <xf numFmtId="164" fontId="0" fillId="4" borderId="0" xfId="3" applyNumberFormat="1" applyFont="1" applyFill="1"/>
    <xf numFmtId="164" fontId="3" fillId="7" borderId="0" xfId="3" applyNumberFormat="1" applyFont="1" applyFill="1"/>
    <xf numFmtId="164" fontId="4" fillId="0" borderId="0" xfId="3" applyNumberFormat="1" applyFont="1" applyAlignment="1">
      <alignment horizontal="center" vertical="center"/>
    </xf>
    <xf numFmtId="9" fontId="4" fillId="4" borderId="0" xfId="2" applyFont="1" applyFill="1" applyAlignment="1">
      <alignment horizontal="center" vertical="center"/>
    </xf>
    <xf numFmtId="3" fontId="4" fillId="5" borderId="0" xfId="3" applyNumberFormat="1" applyFont="1" applyFill="1" applyAlignment="1">
      <alignment horizontal="center" vertical="center"/>
    </xf>
    <xf numFmtId="9" fontId="4" fillId="5" borderId="0" xfId="2" applyFont="1" applyFill="1" applyAlignment="1">
      <alignment horizontal="center" vertical="center"/>
    </xf>
    <xf numFmtId="9" fontId="0" fillId="0" borderId="0" xfId="2" applyFont="1"/>
    <xf numFmtId="164" fontId="4" fillId="5" borderId="0" xfId="3" applyNumberFormat="1" applyFont="1" applyFill="1" applyAlignment="1">
      <alignment horizontal="left" vertical="center"/>
    </xf>
    <xf numFmtId="164" fontId="4" fillId="4" borderId="0" xfId="3" applyNumberFormat="1" applyFont="1" applyFill="1" applyAlignment="1">
      <alignment horizontal="left" vertical="center"/>
    </xf>
    <xf numFmtId="0" fontId="21" fillId="0" borderId="0" xfId="0" applyFont="1"/>
    <xf numFmtId="0" fontId="0" fillId="0" borderId="2" xfId="0" applyBorder="1"/>
    <xf numFmtId="164" fontId="0" fillId="0" borderId="2" xfId="3" applyNumberFormat="1" applyFont="1" applyBorder="1"/>
    <xf numFmtId="0" fontId="21" fillId="0" borderId="2" xfId="0" applyFont="1" applyBorder="1" applyAlignment="1">
      <alignment horizontal="right"/>
    </xf>
    <xf numFmtId="0" fontId="21" fillId="0" borderId="2" xfId="0" applyFont="1" applyBorder="1"/>
    <xf numFmtId="9" fontId="21" fillId="0" borderId="2" xfId="2" applyFont="1" applyBorder="1"/>
    <xf numFmtId="9" fontId="21" fillId="13" borderId="2" xfId="2" applyFont="1" applyFill="1" applyBorder="1"/>
    <xf numFmtId="43" fontId="0" fillId="0" borderId="0" xfId="0" applyNumberFormat="1"/>
    <xf numFmtId="9" fontId="23" fillId="4" borderId="0" xfId="2" applyFont="1" applyFill="1"/>
    <xf numFmtId="0" fontId="24" fillId="0" borderId="0" xfId="0" applyFont="1"/>
    <xf numFmtId="0" fontId="23" fillId="0" borderId="0" xfId="0" applyFont="1"/>
    <xf numFmtId="9" fontId="23" fillId="0" borderId="0" xfId="2" applyFont="1"/>
    <xf numFmtId="0" fontId="22" fillId="3" borderId="0" xfId="0" applyFont="1" applyFill="1"/>
    <xf numFmtId="165" fontId="22" fillId="3" borderId="0" xfId="0" applyNumberFormat="1" applyFont="1" applyFill="1"/>
    <xf numFmtId="0" fontId="24" fillId="14" borderId="0" xfId="0" applyFont="1" applyFill="1"/>
    <xf numFmtId="0" fontId="18" fillId="15" borderId="0" xfId="0" applyFont="1" applyFill="1"/>
    <xf numFmtId="164" fontId="18" fillId="15" borderId="0" xfId="3" applyNumberFormat="1" applyFont="1" applyFill="1" applyAlignment="1">
      <alignment horizontal="center" vertical="center"/>
    </xf>
    <xf numFmtId="3" fontId="18" fillId="15" borderId="0" xfId="3" applyNumberFormat="1" applyFont="1" applyFill="1" applyAlignment="1">
      <alignment horizontal="center" vertical="center"/>
    </xf>
    <xf numFmtId="0" fontId="3" fillId="5" borderId="0" xfId="0" applyFont="1" applyFill="1"/>
    <xf numFmtId="9" fontId="5" fillId="5" borderId="0" xfId="2" applyFont="1" applyFill="1" applyAlignment="1">
      <alignment horizontal="center" vertical="center"/>
    </xf>
    <xf numFmtId="164" fontId="3" fillId="7" borderId="0" xfId="3" applyNumberFormat="1" applyFont="1" applyFill="1" applyAlignment="1">
      <alignment horizontal="center" vertical="center"/>
    </xf>
    <xf numFmtId="164" fontId="18" fillId="16" borderId="0" xfId="3" applyNumberFormat="1" applyFont="1" applyFill="1" applyAlignment="1">
      <alignment horizontal="center" vertical="center"/>
    </xf>
    <xf numFmtId="0" fontId="24" fillId="4" borderId="0" xfId="0" applyFont="1" applyFill="1"/>
    <xf numFmtId="164" fontId="23" fillId="4" borderId="0" xfId="3" applyNumberFormat="1" applyFont="1" applyFill="1"/>
    <xf numFmtId="0" fontId="23" fillId="4" borderId="0" xfId="0" applyFont="1" applyFill="1"/>
    <xf numFmtId="164" fontId="24" fillId="4" borderId="0" xfId="3" applyNumberFormat="1" applyFont="1" applyFill="1"/>
    <xf numFmtId="10" fontId="23" fillId="0" borderId="0" xfId="2" applyNumberFormat="1" applyFont="1"/>
    <xf numFmtId="10" fontId="23" fillId="4" borderId="0" xfId="2" applyNumberFormat="1" applyFont="1" applyFill="1"/>
    <xf numFmtId="0" fontId="19" fillId="4" borderId="0" xfId="0" applyFont="1" applyFill="1"/>
    <xf numFmtId="37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37" fontId="2" fillId="4" borderId="0" xfId="0" applyNumberFormat="1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4" fontId="0" fillId="4" borderId="0" xfId="0" applyNumberFormat="1" applyFill="1"/>
    <xf numFmtId="2" fontId="19" fillId="4" borderId="0" xfId="3" applyNumberFormat="1" applyFont="1" applyFill="1"/>
    <xf numFmtId="1" fontId="3" fillId="4" borderId="0" xfId="3" applyNumberFormat="1" applyFont="1" applyFill="1"/>
    <xf numFmtId="2" fontId="19" fillId="5" borderId="0" xfId="3" applyNumberFormat="1" applyFont="1" applyFill="1"/>
    <xf numFmtId="164" fontId="3" fillId="5" borderId="0" xfId="3" applyNumberFormat="1" applyFont="1" applyFill="1"/>
    <xf numFmtId="164" fontId="19" fillId="4" borderId="0" xfId="3" applyNumberFormat="1" applyFont="1" applyFill="1"/>
    <xf numFmtId="164" fontId="3" fillId="4" borderId="0" xfId="3" applyNumberFormat="1" applyFont="1" applyFill="1"/>
    <xf numFmtId="0" fontId="1" fillId="4" borderId="0" xfId="3" applyNumberFormat="1" applyFont="1" applyFill="1" applyAlignment="1">
      <alignment horizontal="center" vertical="center"/>
    </xf>
    <xf numFmtId="37" fontId="4" fillId="4" borderId="0" xfId="3" applyNumberFormat="1" applyFont="1" applyFill="1"/>
    <xf numFmtId="0" fontId="1" fillId="4" borderId="0" xfId="3" applyNumberFormat="1" applyFont="1" applyFill="1"/>
    <xf numFmtId="164" fontId="3" fillId="5" borderId="0" xfId="3" applyNumberFormat="1" applyFont="1" applyFill="1" applyAlignment="1">
      <alignment horizontal="center" vertical="center"/>
    </xf>
    <xf numFmtId="164" fontId="3" fillId="4" borderId="0" xfId="3" applyNumberFormat="1" applyFont="1" applyFill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0" fontId="3" fillId="4" borderId="0" xfId="3" applyNumberFormat="1" applyFont="1" applyFill="1"/>
    <xf numFmtId="37" fontId="3" fillId="4" borderId="0" xfId="3" applyNumberFormat="1" applyFont="1" applyFill="1"/>
    <xf numFmtId="0" fontId="2" fillId="4" borderId="0" xfId="3" applyNumberFormat="1" applyFont="1" applyFill="1"/>
    <xf numFmtId="2" fontId="0" fillId="4" borderId="0" xfId="2" applyNumberFormat="1" applyFont="1" applyFill="1"/>
    <xf numFmtId="2" fontId="0" fillId="4" borderId="0" xfId="3" applyNumberFormat="1" applyFont="1" applyFill="1"/>
    <xf numFmtId="168" fontId="0" fillId="0" borderId="0" xfId="0" applyNumberFormat="1"/>
    <xf numFmtId="0" fontId="26" fillId="4" borderId="5" xfId="0" applyFont="1" applyFill="1" applyBorder="1"/>
    <xf numFmtId="10" fontId="0" fillId="0" borderId="0" xfId="2" applyNumberFormat="1" applyFont="1"/>
    <xf numFmtId="10" fontId="4" fillId="0" borderId="0" xfId="2" applyNumberFormat="1" applyFont="1" applyAlignment="1">
      <alignment horizontal="center" vertical="center"/>
    </xf>
    <xf numFmtId="164" fontId="2" fillId="0" borderId="0" xfId="3" applyNumberFormat="1" applyFont="1"/>
    <xf numFmtId="164" fontId="27" fillId="4" borderId="5" xfId="3" applyNumberFormat="1" applyFont="1" applyFill="1" applyBorder="1"/>
    <xf numFmtId="164" fontId="5" fillId="4" borderId="5" xfId="3" applyNumberFormat="1" applyFont="1" applyFill="1" applyBorder="1"/>
    <xf numFmtId="0" fontId="0" fillId="0" borderId="0" xfId="0" applyAlignment="1">
      <alignment horizontal="center"/>
    </xf>
    <xf numFmtId="1" fontId="0" fillId="4" borderId="0" xfId="0" applyNumberFormat="1" applyFill="1" applyAlignment="1">
      <alignment horizontal="center"/>
    </xf>
    <xf numFmtId="0" fontId="4" fillId="4" borderId="0" xfId="0" applyFont="1" applyFill="1" applyAlignment="1">
      <alignment wrapText="1"/>
    </xf>
    <xf numFmtId="37" fontId="6" fillId="0" borderId="0" xfId="3" applyNumberFormat="1"/>
    <xf numFmtId="164" fontId="4" fillId="0" borderId="0" xfId="0" applyNumberFormat="1" applyFont="1"/>
    <xf numFmtId="37" fontId="4" fillId="0" borderId="5" xfId="3" applyNumberFormat="1" applyFont="1" applyBorder="1"/>
    <xf numFmtId="164" fontId="5" fillId="0" borderId="5" xfId="0" applyNumberFormat="1" applyFont="1" applyBorder="1"/>
    <xf numFmtId="37" fontId="5" fillId="0" borderId="5" xfId="3" applyNumberFormat="1" applyFont="1" applyBorder="1"/>
    <xf numFmtId="0" fontId="23" fillId="4" borderId="0" xfId="2" applyNumberFormat="1" applyFont="1" applyFill="1" applyAlignment="1">
      <alignment horizontal="left" vertical="top"/>
    </xf>
    <xf numFmtId="0" fontId="23" fillId="0" borderId="0" xfId="2" applyNumberFormat="1" applyFont="1" applyAlignment="1">
      <alignment horizontal="left" vertical="top"/>
    </xf>
    <xf numFmtId="164" fontId="23" fillId="4" borderId="0" xfId="3" applyNumberFormat="1" applyFont="1" applyFill="1" applyAlignment="1">
      <alignment horizontal="right"/>
    </xf>
    <xf numFmtId="0" fontId="23" fillId="0" borderId="0" xfId="0" applyFont="1" applyAlignment="1">
      <alignment horizontal="left" vertical="top"/>
    </xf>
    <xf numFmtId="1" fontId="23" fillId="0" borderId="0" xfId="0" applyNumberFormat="1" applyFont="1" applyAlignment="1">
      <alignment horizontal="right"/>
    </xf>
    <xf numFmtId="164" fontId="23" fillId="0" borderId="0" xfId="3" applyNumberFormat="1" applyFont="1" applyAlignment="1">
      <alignment horizontal="right"/>
    </xf>
    <xf numFmtId="0" fontId="24" fillId="0" borderId="0" xfId="0" applyFont="1" applyAlignment="1">
      <alignment horizontal="left" vertical="top"/>
    </xf>
    <xf numFmtId="164" fontId="24" fillId="0" borderId="0" xfId="3" applyNumberFormat="1" applyFont="1" applyAlignment="1">
      <alignment horizontal="right"/>
    </xf>
    <xf numFmtId="0" fontId="24" fillId="0" borderId="0" xfId="0" applyFont="1" applyAlignment="1">
      <alignment horizontal="right"/>
    </xf>
    <xf numFmtId="1" fontId="23" fillId="0" borderId="0" xfId="2" applyNumberFormat="1" applyFont="1" applyAlignment="1">
      <alignment horizontal="right"/>
    </xf>
    <xf numFmtId="0" fontId="22" fillId="7" borderId="0" xfId="0" applyFont="1" applyFill="1" applyAlignment="1">
      <alignment horizontal="right"/>
    </xf>
    <xf numFmtId="0" fontId="0" fillId="0" borderId="0" xfId="0" applyAlignment="1">
      <alignment horizontal="right" indent="1"/>
    </xf>
    <xf numFmtId="164" fontId="5" fillId="0" borderId="0" xfId="3" applyNumberFormat="1" applyFont="1"/>
    <xf numFmtId="0" fontId="8" fillId="6" borderId="0" xfId="0" applyFont="1" applyFill="1" applyAlignment="1">
      <alignment vertical="center"/>
    </xf>
    <xf numFmtId="164" fontId="29" fillId="0" borderId="0" xfId="3" applyNumberFormat="1" applyFont="1" applyAlignment="1">
      <alignment horizontal="right"/>
    </xf>
    <xf numFmtId="164" fontId="30" fillId="0" borderId="0" xfId="3" applyNumberFormat="1" applyFont="1" applyAlignment="1">
      <alignment horizontal="right"/>
    </xf>
    <xf numFmtId="164" fontId="30" fillId="4" borderId="0" xfId="3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4" fillId="0" borderId="0" xfId="3" applyNumberFormat="1" applyFont="1" applyAlignment="1">
      <alignment horizontal="right"/>
    </xf>
    <xf numFmtId="0" fontId="0" fillId="0" borderId="0" xfId="0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164" fontId="0" fillId="0" borderId="0" xfId="3" applyNumberFormat="1" applyFont="1" applyAlignment="1">
      <alignment horizontal="center" vertical="center"/>
    </xf>
    <xf numFmtId="164" fontId="31" fillId="4" borderId="0" xfId="3" applyNumberFormat="1" applyFont="1" applyFill="1"/>
    <xf numFmtId="164" fontId="31" fillId="5" borderId="0" xfId="3" applyNumberFormat="1" applyFont="1" applyFill="1"/>
    <xf numFmtId="164" fontId="32" fillId="0" borderId="0" xfId="3" applyNumberFormat="1" applyFont="1"/>
    <xf numFmtId="164" fontId="33" fillId="4" borderId="0" xfId="3" applyNumberFormat="1" applyFont="1" applyFill="1"/>
    <xf numFmtId="164" fontId="33" fillId="5" borderId="0" xfId="3" applyNumberFormat="1" applyFont="1" applyFill="1" applyAlignment="1">
      <alignment horizontal="center" vertical="center"/>
    </xf>
    <xf numFmtId="164" fontId="33" fillId="13" borderId="0" xfId="3" applyNumberFormat="1" applyFont="1" applyFill="1"/>
    <xf numFmtId="164" fontId="31" fillId="0" borderId="0" xfId="3" applyNumberFormat="1" applyFont="1"/>
    <xf numFmtId="2" fontId="10" fillId="6" borderId="0" xfId="3" applyNumberFormat="1" applyFont="1" applyFill="1"/>
    <xf numFmtId="0" fontId="3" fillId="10" borderId="0" xfId="0" applyFont="1" applyFill="1"/>
    <xf numFmtId="2" fontId="10" fillId="10" borderId="0" xfId="3" applyNumberFormat="1" applyFont="1" applyFill="1"/>
    <xf numFmtId="164" fontId="10" fillId="2" borderId="0" xfId="3" applyNumberFormat="1" applyFont="1" applyFill="1"/>
    <xf numFmtId="164" fontId="5" fillId="0" borderId="5" xfId="3" applyNumberFormat="1" applyFont="1" applyBorder="1"/>
    <xf numFmtId="164" fontId="38" fillId="0" borderId="0" xfId="3" applyNumberFormat="1" applyFont="1"/>
    <xf numFmtId="164" fontId="23" fillId="0" borderId="0" xfId="3" applyNumberFormat="1" applyFont="1" applyAlignment="1">
      <alignment horizontal="left" vertical="top"/>
    </xf>
    <xf numFmtId="10" fontId="23" fillId="0" borderId="0" xfId="2" applyNumberFormat="1" applyFont="1" applyAlignment="1">
      <alignment horizontal="left" vertical="top"/>
    </xf>
    <xf numFmtId="0" fontId="39" fillId="0" borderId="8" xfId="0" applyFont="1" applyBorder="1"/>
    <xf numFmtId="0" fontId="38" fillId="0" borderId="8" xfId="0" applyFont="1" applyBorder="1"/>
    <xf numFmtId="0" fontId="36" fillId="23" borderId="0" xfId="0" applyFont="1" applyFill="1"/>
    <xf numFmtId="0" fontId="36" fillId="23" borderId="0" xfId="0" applyFont="1" applyFill="1" applyAlignment="1">
      <alignment horizontal="center"/>
    </xf>
    <xf numFmtId="0" fontId="36" fillId="23" borderId="0" xfId="0" applyFont="1" applyFill="1" applyAlignment="1">
      <alignment horizontal="center" vertical="center" wrapText="1"/>
    </xf>
    <xf numFmtId="0" fontId="36" fillId="23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69" fontId="38" fillId="18" borderId="11" xfId="0" applyNumberFormat="1" applyFont="1" applyFill="1" applyBorder="1"/>
    <xf numFmtId="170" fontId="38" fillId="18" borderId="11" xfId="0" applyNumberFormat="1" applyFont="1" applyFill="1" applyBorder="1"/>
    <xf numFmtId="170" fontId="38" fillId="18" borderId="12" xfId="0" applyNumberFormat="1" applyFont="1" applyFill="1" applyBorder="1"/>
    <xf numFmtId="169" fontId="40" fillId="0" borderId="0" xfId="0" applyNumberFormat="1" applyFont="1"/>
    <xf numFmtId="169" fontId="38" fillId="0" borderId="0" xfId="0" applyNumberFormat="1" applyFont="1"/>
    <xf numFmtId="0" fontId="38" fillId="18" borderId="0" xfId="0" applyFont="1" applyFill="1"/>
    <xf numFmtId="170" fontId="38" fillId="18" borderId="0" xfId="0" applyNumberFormat="1" applyFont="1" applyFill="1"/>
    <xf numFmtId="0" fontId="37" fillId="18" borderId="0" xfId="0" applyFont="1" applyFill="1"/>
    <xf numFmtId="170" fontId="37" fillId="18" borderId="0" xfId="0" applyNumberFormat="1" applyFont="1" applyFill="1"/>
    <xf numFmtId="0" fontId="38" fillId="23" borderId="0" xfId="0" applyFont="1" applyFill="1"/>
    <xf numFmtId="171" fontId="38" fillId="0" borderId="0" xfId="0" applyNumberFormat="1" applyFont="1"/>
    <xf numFmtId="0" fontId="37" fillId="18" borderId="13" xfId="0" applyFont="1" applyFill="1" applyBorder="1"/>
    <xf numFmtId="171" fontId="37" fillId="18" borderId="13" xfId="0" applyNumberFormat="1" applyFont="1" applyFill="1" applyBorder="1"/>
    <xf numFmtId="169" fontId="41" fillId="18" borderId="13" xfId="0" applyNumberFormat="1" applyFont="1" applyFill="1" applyBorder="1"/>
    <xf numFmtId="164" fontId="40" fillId="18" borderId="11" xfId="3" applyNumberFormat="1" applyFont="1" applyFill="1" applyBorder="1"/>
    <xf numFmtId="0" fontId="2" fillId="0" borderId="0" xfId="0" applyFont="1" applyAlignment="1">
      <alignment vertical="center" wrapText="1"/>
    </xf>
    <xf numFmtId="164" fontId="38" fillId="18" borderId="11" xfId="3" applyNumberFormat="1" applyFont="1" applyFill="1" applyBorder="1" applyAlignment="1">
      <alignment horizontal="left" vertical="top"/>
    </xf>
    <xf numFmtId="164" fontId="38" fillId="0" borderId="0" xfId="3" applyNumberFormat="1" applyFont="1" applyAlignment="1">
      <alignment horizontal="left" vertical="top"/>
    </xf>
    <xf numFmtId="0" fontId="42" fillId="4" borderId="0" xfId="0" applyFont="1" applyFill="1" applyAlignment="1">
      <alignment wrapText="1"/>
    </xf>
    <xf numFmtId="0" fontId="22" fillId="4" borderId="0" xfId="0" applyFont="1" applyFill="1" applyAlignment="1">
      <alignment horizontal="right"/>
    </xf>
    <xf numFmtId="164" fontId="3" fillId="6" borderId="0" xfId="3" applyNumberFormat="1" applyFont="1" applyFill="1"/>
    <xf numFmtId="0" fontId="37" fillId="0" borderId="0" xfId="0" applyFont="1" applyAlignment="1">
      <alignment vertical="top" wrapText="1"/>
    </xf>
    <xf numFmtId="0" fontId="28" fillId="0" borderId="0" xfId="0" applyFont="1"/>
    <xf numFmtId="164" fontId="40" fillId="0" borderId="0" xfId="3" applyNumberFormat="1" applyFont="1"/>
    <xf numFmtId="43" fontId="40" fillId="18" borderId="11" xfId="3" applyFont="1" applyFill="1" applyBorder="1"/>
    <xf numFmtId="43" fontId="40" fillId="0" borderId="0" xfId="3" applyFont="1"/>
    <xf numFmtId="0" fontId="37" fillId="18" borderId="10" xfId="0" applyFont="1" applyFill="1" applyBorder="1"/>
    <xf numFmtId="1" fontId="40" fillId="18" borderId="11" xfId="3" applyNumberFormat="1" applyFont="1" applyFill="1" applyBorder="1"/>
    <xf numFmtId="1" fontId="40" fillId="0" borderId="0" xfId="0" applyNumberFormat="1" applyFont="1"/>
    <xf numFmtId="0" fontId="43" fillId="0" borderId="1" xfId="0" applyFont="1" applyBorder="1"/>
    <xf numFmtId="0" fontId="38" fillId="0" borderId="0" xfId="0" applyFont="1" applyAlignment="1">
      <alignment wrapText="1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vertical="top" wrapText="1"/>
    </xf>
    <xf numFmtId="166" fontId="4" fillId="0" borderId="0" xfId="2" applyNumberFormat="1" applyFont="1" applyAlignment="1">
      <alignment horizontal="right"/>
    </xf>
    <xf numFmtId="0" fontId="4" fillId="0" borderId="0" xfId="0" applyFont="1" applyAlignment="1">
      <alignment vertical="center" wrapText="1"/>
    </xf>
    <xf numFmtId="2" fontId="4" fillId="0" borderId="0" xfId="0" applyNumberFormat="1" applyFont="1" applyAlignment="1">
      <alignment horizontal="right" vertical="center" wrapText="1"/>
    </xf>
    <xf numFmtId="0" fontId="5" fillId="7" borderId="0" xfId="0" applyFont="1" applyFill="1"/>
    <xf numFmtId="0" fontId="3" fillId="7" borderId="0" xfId="0" applyFont="1" applyFill="1" applyAlignment="1">
      <alignment horizontal="right"/>
    </xf>
    <xf numFmtId="172" fontId="0" fillId="0" borderId="0" xfId="1" applyNumberFormat="1" applyFont="1"/>
    <xf numFmtId="0" fontId="2" fillId="0" borderId="1" xfId="0" applyFont="1" applyBorder="1"/>
    <xf numFmtId="173" fontId="0" fillId="0" borderId="1" xfId="0" applyNumberFormat="1" applyBorder="1"/>
    <xf numFmtId="0" fontId="0" fillId="0" borderId="1" xfId="0" applyBorder="1"/>
    <xf numFmtId="173" fontId="0" fillId="0" borderId="0" xfId="0" applyNumberFormat="1"/>
    <xf numFmtId="0" fontId="7" fillId="6" borderId="0" xfId="0" applyFont="1" applyFill="1"/>
    <xf numFmtId="0" fontId="7" fillId="6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172" fontId="0" fillId="0" borderId="0" xfId="0" applyNumberFormat="1" applyAlignment="1">
      <alignment horizontal="right"/>
    </xf>
    <xf numFmtId="164" fontId="0" fillId="0" borderId="0" xfId="3" applyNumberFormat="1" applyFont="1" applyAlignment="1">
      <alignment horizontal="right"/>
    </xf>
    <xf numFmtId="0" fontId="34" fillId="0" borderId="0" xfId="5"/>
    <xf numFmtId="0" fontId="34" fillId="25" borderId="0" xfId="5" applyFill="1"/>
    <xf numFmtId="0" fontId="35" fillId="0" borderId="0" xfId="5" applyFont="1"/>
    <xf numFmtId="0" fontId="44" fillId="25" borderId="0" xfId="5" applyFont="1" applyFill="1"/>
    <xf numFmtId="0" fontId="35" fillId="0" borderId="0" xfId="5" applyFont="1" applyAlignment="1">
      <alignment horizontal="center"/>
    </xf>
    <xf numFmtId="164" fontId="34" fillId="0" borderId="0" xfId="3" applyNumberFormat="1" applyFont="1"/>
    <xf numFmtId="164" fontId="40" fillId="0" borderId="0" xfId="0" applyNumberFormat="1" applyFont="1"/>
    <xf numFmtId="43" fontId="37" fillId="18" borderId="13" xfId="3" applyFont="1" applyFill="1" applyBorder="1"/>
    <xf numFmtId="174" fontId="38" fillId="0" borderId="0" xfId="3" applyNumberFormat="1" applyFont="1"/>
    <xf numFmtId="164" fontId="3" fillId="2" borderId="0" xfId="3" applyNumberFormat="1" applyFont="1" applyFill="1"/>
    <xf numFmtId="14" fontId="0" fillId="0" borderId="0" xfId="0" applyNumberFormat="1"/>
    <xf numFmtId="4" fontId="0" fillId="0" borderId="0" xfId="0" applyNumberFormat="1"/>
    <xf numFmtId="0" fontId="0" fillId="0" borderId="14" xfId="0" applyBorder="1"/>
    <xf numFmtId="0" fontId="47" fillId="0" borderId="15" xfId="0" applyFont="1" applyBorder="1" applyAlignment="1">
      <alignment horizontal="center"/>
    </xf>
    <xf numFmtId="175" fontId="0" fillId="0" borderId="0" xfId="0" applyNumberFormat="1"/>
    <xf numFmtId="0" fontId="5" fillId="26" borderId="0" xfId="0" applyFont="1" applyFill="1"/>
    <xf numFmtId="2" fontId="5" fillId="26" borderId="0" xfId="0" applyNumberFormat="1" applyFont="1" applyFill="1"/>
    <xf numFmtId="2" fontId="2" fillId="0" borderId="0" xfId="2" applyNumberFormat="1" applyFont="1"/>
    <xf numFmtId="0" fontId="25" fillId="21" borderId="0" xfId="0" applyFont="1" applyFill="1" applyAlignment="1">
      <alignment horizontal="left"/>
    </xf>
    <xf numFmtId="0" fontId="22" fillId="21" borderId="0" xfId="0" applyFont="1" applyFill="1" applyAlignment="1">
      <alignment horizontal="left"/>
    </xf>
    <xf numFmtId="43" fontId="23" fillId="4" borderId="0" xfId="3" applyFont="1" applyFill="1"/>
    <xf numFmtId="2" fontId="24" fillId="4" borderId="0" xfId="3" applyNumberFormat="1" applyFont="1" applyFill="1"/>
    <xf numFmtId="166" fontId="23" fillId="22" borderId="0" xfId="2" applyNumberFormat="1" applyFont="1" applyFill="1"/>
    <xf numFmtId="166" fontId="24" fillId="22" borderId="0" xfId="2" applyNumberFormat="1" applyFont="1" applyFill="1"/>
    <xf numFmtId="164" fontId="23" fillId="22" borderId="0" xfId="3" applyNumberFormat="1" applyFont="1" applyFill="1"/>
    <xf numFmtId="164" fontId="22" fillId="21" borderId="0" xfId="3" applyNumberFormat="1" applyFont="1" applyFill="1"/>
    <xf numFmtId="0" fontId="48" fillId="0" borderId="15" xfId="0" applyFont="1" applyBorder="1" applyAlignment="1">
      <alignment horizontal="centerContinuous"/>
    </xf>
    <xf numFmtId="0" fontId="5" fillId="4" borderId="1" xfId="0" applyFont="1" applyFill="1" applyBorder="1"/>
    <xf numFmtId="0" fontId="7" fillId="4" borderId="0" xfId="0" applyFont="1" applyFill="1" applyAlignment="1">
      <alignment vertical="top"/>
    </xf>
    <xf numFmtId="0" fontId="9" fillId="4" borderId="0" xfId="0" applyFont="1" applyFill="1"/>
    <xf numFmtId="0" fontId="7" fillId="4" borderId="0" xfId="0" applyFont="1" applyFill="1" applyAlignment="1">
      <alignment vertical="center"/>
    </xf>
    <xf numFmtId="0" fontId="7" fillId="4" borderId="0" xfId="0" applyFont="1" applyFill="1"/>
    <xf numFmtId="168" fontId="0" fillId="4" borderId="0" xfId="0" applyNumberFormat="1" applyFill="1"/>
    <xf numFmtId="166" fontId="4" fillId="0" borderId="0" xfId="2" applyNumberFormat="1" applyFont="1"/>
    <xf numFmtId="10" fontId="4" fillId="0" borderId="0" xfId="2" applyNumberFormat="1" applyFont="1"/>
    <xf numFmtId="0" fontId="5" fillId="0" borderId="3" xfId="0" applyFont="1" applyBorder="1"/>
    <xf numFmtId="166" fontId="5" fillId="0" borderId="3" xfId="2" applyNumberFormat="1" applyFont="1" applyBorder="1"/>
    <xf numFmtId="9" fontId="3" fillId="3" borderId="0" xfId="2" applyFont="1" applyFill="1" applyAlignment="1">
      <alignment horizontal="center" vertical="center"/>
    </xf>
    <xf numFmtId="9" fontId="3" fillId="9" borderId="0" xfId="2" applyFont="1" applyFill="1" applyAlignment="1">
      <alignment horizontal="center" vertical="center"/>
    </xf>
    <xf numFmtId="0" fontId="18" fillId="4" borderId="0" xfId="0" applyFont="1" applyFill="1"/>
    <xf numFmtId="164" fontId="18" fillId="4" borderId="0" xfId="3" applyNumberFormat="1" applyFont="1" applyFill="1" applyAlignment="1">
      <alignment horizontal="center" vertical="center"/>
    </xf>
    <xf numFmtId="2" fontId="3" fillId="10" borderId="0" xfId="3" applyNumberFormat="1" applyFont="1" applyFill="1"/>
    <xf numFmtId="166" fontId="0" fillId="0" borderId="0" xfId="2" applyNumberFormat="1" applyFont="1"/>
    <xf numFmtId="0" fontId="3" fillId="6" borderId="0" xfId="0" applyFont="1" applyFill="1" applyAlignment="1">
      <alignment horizontal="center" vertical="center"/>
    </xf>
    <xf numFmtId="0" fontId="3" fillId="8" borderId="0" xfId="0" applyFont="1" applyFill="1"/>
    <xf numFmtId="9" fontId="3" fillId="8" borderId="0" xfId="3" applyNumberFormat="1" applyFont="1" applyFill="1" applyAlignment="1">
      <alignment horizontal="center" vertical="center"/>
    </xf>
    <xf numFmtId="9" fontId="4" fillId="0" borderId="0" xfId="2" applyFont="1" applyAlignment="1">
      <alignment horizontal="center" vertical="center"/>
    </xf>
    <xf numFmtId="9" fontId="3" fillId="8" borderId="0" xfId="2" applyFont="1" applyFill="1" applyAlignment="1">
      <alignment horizontal="center" vertical="center"/>
    </xf>
    <xf numFmtId="9" fontId="3" fillId="7" borderId="0" xfId="2" applyFont="1" applyFill="1" applyAlignment="1">
      <alignment horizontal="center" vertical="center"/>
    </xf>
    <xf numFmtId="9" fontId="3" fillId="6" borderId="0" xfId="2" applyFont="1" applyFill="1" applyAlignment="1">
      <alignment horizontal="center" vertical="center"/>
    </xf>
    <xf numFmtId="0" fontId="4" fillId="0" borderId="1" xfId="0" applyFont="1" applyBorder="1"/>
    <xf numFmtId="166" fontId="4" fillId="0" borderId="1" xfId="2" applyNumberFormat="1" applyFont="1" applyBorder="1"/>
    <xf numFmtId="164" fontId="4" fillId="0" borderId="0" xfId="0" applyNumberFormat="1" applyFont="1" applyAlignment="1">
      <alignment horizontal="right"/>
    </xf>
    <xf numFmtId="0" fontId="10" fillId="7" borderId="0" xfId="0" applyFont="1" applyFill="1" applyAlignment="1">
      <alignment horizontal="right"/>
    </xf>
    <xf numFmtId="0" fontId="2" fillId="0" borderId="3" xfId="0" applyFont="1" applyBorder="1"/>
    <xf numFmtId="164" fontId="2" fillId="0" borderId="0" xfId="0" applyNumberFormat="1" applyFont="1"/>
    <xf numFmtId="0" fontId="3" fillId="6" borderId="0" xfId="0" applyFont="1" applyFill="1" applyAlignment="1">
      <alignment vertical="center"/>
    </xf>
    <xf numFmtId="164" fontId="4" fillId="0" borderId="0" xfId="2" applyNumberFormat="1" applyFont="1"/>
    <xf numFmtId="0" fontId="5" fillId="0" borderId="2" xfId="0" applyFont="1" applyBorder="1"/>
    <xf numFmtId="3" fontId="4" fillId="0" borderId="2" xfId="0" applyNumberFormat="1" applyFont="1" applyBorder="1" applyAlignment="1">
      <alignment horizontal="center" vertical="center"/>
    </xf>
    <xf numFmtId="0" fontId="5" fillId="0" borderId="5" xfId="0" applyFont="1" applyBorder="1"/>
    <xf numFmtId="164" fontId="5" fillId="0" borderId="0" xfId="0" applyNumberFormat="1" applyFont="1"/>
    <xf numFmtId="0" fontId="5" fillId="0" borderId="0" xfId="0" applyFont="1" applyAlignment="1">
      <alignment wrapText="1" readingOrder="1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/>
    <xf numFmtId="10" fontId="4" fillId="0" borderId="0" xfId="0" applyNumberFormat="1" applyFont="1"/>
    <xf numFmtId="9" fontId="4" fillId="0" borderId="0" xfId="0" applyNumberFormat="1" applyFont="1"/>
    <xf numFmtId="0" fontId="31" fillId="0" borderId="0" xfId="0" applyFont="1"/>
    <xf numFmtId="166" fontId="4" fillId="0" borderId="0" xfId="0" applyNumberFormat="1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4" fillId="0" borderId="0" xfId="2" applyNumberFormat="1" applyFont="1" applyAlignment="1">
      <alignment horizontal="left" vertical="top"/>
    </xf>
    <xf numFmtId="176" fontId="26" fillId="0" borderId="0" xfId="0" applyNumberFormat="1" applyFont="1" applyAlignment="1">
      <alignment horizontal="left"/>
    </xf>
    <xf numFmtId="176" fontId="49" fillId="0" borderId="0" xfId="0" applyNumberFormat="1" applyFont="1" applyAlignment="1">
      <alignment horizontal="left"/>
    </xf>
    <xf numFmtId="176" fontId="49" fillId="0" borderId="1" xfId="0" applyNumberFormat="1" applyFont="1" applyBorder="1" applyAlignment="1">
      <alignment horizontal="left"/>
    </xf>
    <xf numFmtId="164" fontId="4" fillId="0" borderId="1" xfId="3" applyNumberFormat="1" applyFont="1" applyBorder="1"/>
    <xf numFmtId="10" fontId="49" fillId="0" borderId="0" xfId="2" applyNumberFormat="1" applyFont="1" applyAlignment="1">
      <alignment horizontal="left"/>
    </xf>
    <xf numFmtId="176" fontId="4" fillId="0" borderId="0" xfId="0" applyNumberFormat="1" applyFont="1"/>
    <xf numFmtId="9" fontId="4" fillId="0" borderId="0" xfId="2" applyFont="1" applyAlignment="1">
      <alignment horizontal="left" vertical="top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0" fillId="0" borderId="0" xfId="0" applyFont="1"/>
    <xf numFmtId="0" fontId="7" fillId="2" borderId="0" xfId="0" applyFont="1" applyFill="1" applyAlignment="1">
      <alignment horizontal="center" vertical="center"/>
    </xf>
    <xf numFmtId="165" fontId="3" fillId="3" borderId="0" xfId="0" applyNumberFormat="1" applyFont="1" applyFill="1"/>
    <xf numFmtId="165" fontId="0" fillId="0" borderId="0" xfId="0" applyNumberFormat="1"/>
    <xf numFmtId="165" fontId="3" fillId="4" borderId="0" xfId="0" applyNumberFormat="1" applyFont="1" applyFill="1"/>
    <xf numFmtId="164" fontId="30" fillId="0" borderId="0" xfId="3" applyNumberFormat="1" applyFont="1"/>
    <xf numFmtId="164" fontId="30" fillId="5" borderId="0" xfId="3" applyNumberFormat="1" applyFont="1" applyFill="1"/>
    <xf numFmtId="0" fontId="5" fillId="14" borderId="0" xfId="0" applyFont="1" applyFill="1"/>
    <xf numFmtId="164" fontId="5" fillId="14" borderId="0" xfId="3" applyNumberFormat="1" applyFont="1" applyFill="1"/>
    <xf numFmtId="9" fontId="5" fillId="14" borderId="0" xfId="2" applyFont="1" applyFill="1"/>
    <xf numFmtId="10" fontId="5" fillId="14" borderId="0" xfId="2" applyNumberFormat="1" applyFont="1" applyFill="1"/>
    <xf numFmtId="9" fontId="5" fillId="4" borderId="0" xfId="2" applyFont="1" applyFill="1"/>
    <xf numFmtId="10" fontId="4" fillId="5" borderId="0" xfId="2" applyNumberFormat="1" applyFont="1" applyFill="1"/>
    <xf numFmtId="9" fontId="4" fillId="5" borderId="0" xfId="2" applyFont="1" applyFill="1"/>
    <xf numFmtId="10" fontId="4" fillId="4" borderId="0" xfId="2" applyNumberFormat="1" applyFont="1" applyFill="1"/>
    <xf numFmtId="10" fontId="4" fillId="0" borderId="0" xfId="3" applyNumberFormat="1" applyFont="1"/>
    <xf numFmtId="164" fontId="30" fillId="4" borderId="0" xfId="3" applyNumberFormat="1" applyFont="1" applyFill="1"/>
    <xf numFmtId="164" fontId="3" fillId="3" borderId="0" xfId="0" applyNumberFormat="1" applyFont="1" applyFill="1"/>
    <xf numFmtId="164" fontId="3" fillId="4" borderId="0" xfId="0" applyNumberFormat="1" applyFont="1" applyFill="1"/>
    <xf numFmtId="0" fontId="43" fillId="4" borderId="0" xfId="0" applyFont="1" applyFill="1"/>
    <xf numFmtId="0" fontId="7" fillId="6" borderId="0" xfId="0" applyFont="1" applyFill="1" applyAlignment="1">
      <alignment horizontal="left" vertical="center"/>
    </xf>
    <xf numFmtId="0" fontId="0" fillId="3" borderId="0" xfId="0" applyFill="1"/>
    <xf numFmtId="0" fontId="7" fillId="3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left" vertical="top"/>
    </xf>
    <xf numFmtId="9" fontId="4" fillId="0" borderId="0" xfId="2" applyFont="1" applyAlignment="1">
      <alignment horizontal="center"/>
    </xf>
    <xf numFmtId="43" fontId="5" fillId="0" borderId="5" xfId="0" applyNumberFormat="1" applyFont="1" applyBorder="1"/>
    <xf numFmtId="166" fontId="4" fillId="4" borderId="0" xfId="2" applyNumberFormat="1" applyFont="1" applyFill="1"/>
    <xf numFmtId="9" fontId="0" fillId="0" borderId="0" xfId="2" applyFont="1" applyAlignment="1">
      <alignment horizontal="center"/>
    </xf>
    <xf numFmtId="43" fontId="2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/>
    </xf>
    <xf numFmtId="0" fontId="3" fillId="7" borderId="0" xfId="0" applyFont="1" applyFill="1" applyAlignment="1">
      <alignment horizontal="center" vertical="center"/>
    </xf>
    <xf numFmtId="164" fontId="29" fillId="5" borderId="0" xfId="3" applyNumberFormat="1" applyFont="1" applyFill="1" applyAlignment="1">
      <alignment horizontal="right"/>
    </xf>
    <xf numFmtId="3" fontId="29" fillId="5" borderId="0" xfId="3" applyNumberFormat="1" applyFont="1" applyFill="1" applyAlignment="1">
      <alignment horizontal="right"/>
    </xf>
    <xf numFmtId="164" fontId="29" fillId="4" borderId="0" xfId="3" applyNumberFormat="1" applyFont="1" applyFill="1" applyAlignment="1">
      <alignment horizontal="right"/>
    </xf>
    <xf numFmtId="43" fontId="4" fillId="0" borderId="0" xfId="0" applyNumberFormat="1" applyFont="1" applyAlignment="1">
      <alignment horizontal="right"/>
    </xf>
    <xf numFmtId="0" fontId="49" fillId="5" borderId="0" xfId="0" applyFont="1" applyFill="1"/>
    <xf numFmtId="9" fontId="5" fillId="5" borderId="0" xfId="2" applyFont="1" applyFill="1" applyAlignment="1">
      <alignment horizontal="right"/>
    </xf>
    <xf numFmtId="164" fontId="29" fillId="0" borderId="1" xfId="3" applyNumberFormat="1" applyFont="1" applyBorder="1" applyAlignment="1">
      <alignment horizontal="right"/>
    </xf>
    <xf numFmtId="9" fontId="29" fillId="4" borderId="1" xfId="2" applyFont="1" applyFill="1" applyBorder="1" applyAlignment="1">
      <alignment horizontal="right"/>
    </xf>
    <xf numFmtId="164" fontId="29" fillId="4" borderId="1" xfId="3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30" fillId="4" borderId="5" xfId="3" applyNumberFormat="1" applyFont="1" applyFill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0" fontId="26" fillId="5" borderId="5" xfId="0" applyFont="1" applyFill="1" applyBorder="1"/>
    <xf numFmtId="164" fontId="30" fillId="5" borderId="5" xfId="3" applyNumberFormat="1" applyFont="1" applyFill="1" applyBorder="1" applyAlignment="1">
      <alignment horizontal="right"/>
    </xf>
    <xf numFmtId="164" fontId="5" fillId="0" borderId="5" xfId="3" applyNumberFormat="1" applyFont="1" applyBorder="1" applyAlignment="1">
      <alignment horizontal="right"/>
    </xf>
    <xf numFmtId="0" fontId="49" fillId="4" borderId="0" xfId="0" applyFont="1" applyFill="1"/>
    <xf numFmtId="164" fontId="4" fillId="0" borderId="0" xfId="3" applyNumberFormat="1" applyFont="1" applyAlignment="1">
      <alignment horizontal="right" indent="1"/>
    </xf>
    <xf numFmtId="166" fontId="4" fillId="0" borderId="0" xfId="2" applyNumberFormat="1" applyFont="1" applyAlignment="1">
      <alignment horizontal="right" indent="1"/>
    </xf>
    <xf numFmtId="0" fontId="10" fillId="7" borderId="0" xfId="0" applyFont="1" applyFill="1" applyAlignment="1">
      <alignment horizontal="right" indent="1"/>
    </xf>
    <xf numFmtId="0" fontId="4" fillId="0" borderId="0" xfId="0" applyFont="1" applyAlignment="1">
      <alignment horizontal="right" indent="1"/>
    </xf>
    <xf numFmtId="37" fontId="4" fillId="0" borderId="0" xfId="0" applyNumberFormat="1" applyFont="1" applyAlignment="1">
      <alignment horizontal="right" indent="1"/>
    </xf>
    <xf numFmtId="0" fontId="5" fillId="0" borderId="5" xfId="0" applyFont="1" applyBorder="1" applyAlignment="1">
      <alignment horizontal="right" indent="1"/>
    </xf>
    <xf numFmtId="37" fontId="5" fillId="0" borderId="5" xfId="0" applyNumberFormat="1" applyFont="1" applyBorder="1" applyAlignment="1">
      <alignment horizontal="right" indent="1"/>
    </xf>
    <xf numFmtId="164" fontId="5" fillId="0" borderId="5" xfId="3" applyNumberFormat="1" applyFont="1" applyBorder="1" applyAlignment="1">
      <alignment horizontal="right" indent="1"/>
    </xf>
    <xf numFmtId="164" fontId="5" fillId="4" borderId="0" xfId="0" applyNumberFormat="1" applyFont="1" applyFill="1" applyAlignment="1">
      <alignment horizontal="right" indent="1"/>
    </xf>
    <xf numFmtId="164" fontId="4" fillId="4" borderId="0" xfId="0" applyNumberFormat="1" applyFont="1" applyFill="1" applyAlignment="1">
      <alignment horizontal="right" indent="1"/>
    </xf>
    <xf numFmtId="164" fontId="4" fillId="4" borderId="0" xfId="3" applyNumberFormat="1" applyFont="1" applyFill="1" applyAlignment="1">
      <alignment horizontal="right" indent="1"/>
    </xf>
    <xf numFmtId="164" fontId="4" fillId="0" borderId="0" xfId="0" applyNumberFormat="1" applyFont="1" applyAlignment="1">
      <alignment horizontal="right" indent="1"/>
    </xf>
    <xf numFmtId="10" fontId="4" fillId="0" borderId="0" xfId="2" applyNumberFormat="1" applyFont="1" applyAlignment="1">
      <alignment horizontal="right" indent="1"/>
    </xf>
    <xf numFmtId="9" fontId="4" fillId="4" borderId="0" xfId="2" applyFont="1" applyFill="1" applyAlignment="1">
      <alignment horizontal="right" indent="1"/>
    </xf>
    <xf numFmtId="0" fontId="5" fillId="0" borderId="0" xfId="0" applyFont="1" applyAlignment="1">
      <alignment horizontal="right" indent="1"/>
    </xf>
    <xf numFmtId="43" fontId="5" fillId="0" borderId="0" xfId="0" applyNumberFormat="1" applyFont="1" applyAlignment="1">
      <alignment horizontal="right" indent="1"/>
    </xf>
    <xf numFmtId="37" fontId="4" fillId="4" borderId="0" xfId="0" applyNumberFormat="1" applyFont="1" applyFill="1" applyAlignment="1">
      <alignment horizontal="right" indent="1"/>
    </xf>
    <xf numFmtId="9" fontId="4" fillId="0" borderId="0" xfId="2" applyFont="1" applyAlignment="1">
      <alignment horizontal="right" indent="1"/>
    </xf>
    <xf numFmtId="0" fontId="4" fillId="0" borderId="5" xfId="0" applyFont="1" applyBorder="1" applyAlignment="1">
      <alignment horizontal="right" indent="1"/>
    </xf>
    <xf numFmtId="164" fontId="4" fillId="0" borderId="5" xfId="0" applyNumberFormat="1" applyFont="1" applyBorder="1" applyAlignment="1">
      <alignment horizontal="right" indent="1"/>
    </xf>
    <xf numFmtId="0" fontId="4" fillId="4" borderId="0" xfId="0" applyFont="1" applyFill="1" applyAlignment="1">
      <alignment horizontal="right" indent="1"/>
    </xf>
    <xf numFmtId="37" fontId="5" fillId="4" borderId="5" xfId="0" applyNumberFormat="1" applyFont="1" applyFill="1" applyBorder="1" applyAlignment="1">
      <alignment horizontal="right" indent="1"/>
    </xf>
    <xf numFmtId="0" fontId="10" fillId="7" borderId="0" xfId="0" applyFont="1" applyFill="1"/>
    <xf numFmtId="0" fontId="3" fillId="7" borderId="0" xfId="0" applyFont="1" applyFill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right"/>
    </xf>
    <xf numFmtId="0" fontId="5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right"/>
    </xf>
    <xf numFmtId="164" fontId="5" fillId="0" borderId="5" xfId="3" applyNumberFormat="1" applyFont="1" applyBorder="1" applyAlignment="1">
      <alignment horizontal="left" vertical="top"/>
    </xf>
    <xf numFmtId="0" fontId="5" fillId="0" borderId="0" xfId="0" applyFont="1" applyAlignment="1">
      <alignment horizontal="right"/>
    </xf>
    <xf numFmtId="164" fontId="4" fillId="4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right"/>
    </xf>
    <xf numFmtId="0" fontId="5" fillId="0" borderId="5" xfId="0" applyFont="1" applyBorder="1" applyAlignment="1">
      <alignment horizontal="right"/>
    </xf>
    <xf numFmtId="0" fontId="3" fillId="19" borderId="0" xfId="0" applyFont="1" applyFill="1"/>
    <xf numFmtId="0" fontId="10" fillId="19" borderId="0" xfId="0" applyFont="1" applyFill="1"/>
    <xf numFmtId="177" fontId="4" fillId="0" borderId="0" xfId="0" applyNumberFormat="1" applyFont="1"/>
    <xf numFmtId="0" fontId="4" fillId="0" borderId="6" xfId="0" applyFont="1" applyBorder="1"/>
    <xf numFmtId="177" fontId="4" fillId="0" borderId="5" xfId="0" applyNumberFormat="1" applyFont="1" applyBorder="1"/>
    <xf numFmtId="177" fontId="4" fillId="0" borderId="6" xfId="0" applyNumberFormat="1" applyFont="1" applyBorder="1"/>
    <xf numFmtId="177" fontId="5" fillId="0" borderId="0" xfId="0" applyNumberFormat="1" applyFont="1"/>
    <xf numFmtId="0" fontId="4" fillId="0" borderId="0" xfId="0" applyFont="1" applyAlignment="1">
      <alignment horizontal="left"/>
    </xf>
    <xf numFmtId="0" fontId="5" fillId="20" borderId="7" xfId="0" applyFont="1" applyFill="1" applyBorder="1"/>
    <xf numFmtId="177" fontId="5" fillId="20" borderId="7" xfId="0" applyNumberFormat="1" applyFont="1" applyFill="1" applyBorder="1"/>
    <xf numFmtId="0" fontId="5" fillId="17" borderId="0" xfId="0" applyFont="1" applyFill="1"/>
    <xf numFmtId="0" fontId="4" fillId="17" borderId="0" xfId="0" applyFont="1" applyFill="1"/>
    <xf numFmtId="0" fontId="10" fillId="4" borderId="0" xfId="0" applyFont="1" applyFill="1"/>
    <xf numFmtId="0" fontId="3" fillId="0" borderId="0" xfId="0" applyFont="1"/>
    <xf numFmtId="0" fontId="10" fillId="0" borderId="0" xfId="0" applyFont="1"/>
    <xf numFmtId="3" fontId="4" fillId="0" borderId="0" xfId="0" applyNumberFormat="1" applyFont="1" applyAlignment="1">
      <alignment horizontal="center"/>
    </xf>
    <xf numFmtId="10" fontId="4" fillId="0" borderId="0" xfId="2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66" fontId="4" fillId="0" borderId="0" xfId="2" applyNumberFormat="1" applyFont="1" applyAlignment="1">
      <alignment horizontal="center"/>
    </xf>
    <xf numFmtId="178" fontId="4" fillId="0" borderId="0" xfId="0" applyNumberFormat="1" applyFont="1"/>
    <xf numFmtId="0" fontId="5" fillId="0" borderId="0" xfId="0" applyFont="1" applyAlignment="1">
      <alignment horizontal="center" wrapText="1"/>
    </xf>
    <xf numFmtId="175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horizontal="center"/>
    </xf>
    <xf numFmtId="0" fontId="3" fillId="6" borderId="1" xfId="0" applyFont="1" applyFill="1" applyBorder="1"/>
    <xf numFmtId="0" fontId="10" fillId="3" borderId="0" xfId="0" applyFont="1" applyFill="1"/>
    <xf numFmtId="37" fontId="29" fillId="0" borderId="0" xfId="0" applyNumberFormat="1" applyFont="1"/>
    <xf numFmtId="37" fontId="29" fillId="0" borderId="0" xfId="0" applyNumberFormat="1" applyFont="1" applyAlignment="1">
      <alignment horizontal="center"/>
    </xf>
    <xf numFmtId="37" fontId="4" fillId="0" borderId="0" xfId="0" applyNumberFormat="1" applyFont="1" applyAlignment="1">
      <alignment horizontal="center"/>
    </xf>
    <xf numFmtId="164" fontId="4" fillId="4" borderId="0" xfId="0" applyNumberFormat="1" applyFont="1" applyFill="1"/>
    <xf numFmtId="37" fontId="30" fillId="0" borderId="5" xfId="0" applyNumberFormat="1" applyFont="1" applyBorder="1"/>
    <xf numFmtId="37" fontId="5" fillId="0" borderId="5" xfId="0" applyNumberFormat="1" applyFont="1" applyBorder="1" applyAlignment="1">
      <alignment horizontal="center"/>
    </xf>
    <xf numFmtId="164" fontId="5" fillId="4" borderId="5" xfId="0" applyNumberFormat="1" applyFont="1" applyFill="1" applyBorder="1"/>
    <xf numFmtId="0" fontId="4" fillId="0" borderId="5" xfId="0" applyFont="1" applyBorder="1"/>
    <xf numFmtId="37" fontId="29" fillId="0" borderId="5" xfId="0" applyNumberFormat="1" applyFont="1" applyBorder="1"/>
    <xf numFmtId="37" fontId="4" fillId="0" borderId="5" xfId="0" applyNumberFormat="1" applyFont="1" applyBorder="1" applyAlignment="1">
      <alignment horizontal="center"/>
    </xf>
    <xf numFmtId="37" fontId="4" fillId="0" borderId="0" xfId="0" applyNumberFormat="1" applyFont="1"/>
    <xf numFmtId="37" fontId="4" fillId="4" borderId="0" xfId="0" applyNumberFormat="1" applyFont="1" applyFill="1" applyAlignment="1">
      <alignment horizontal="center"/>
    </xf>
    <xf numFmtId="167" fontId="29" fillId="0" borderId="0" xfId="0" applyNumberFormat="1" applyFont="1" applyAlignment="1">
      <alignment horizontal="center"/>
    </xf>
    <xf numFmtId="167" fontId="4" fillId="4" borderId="0" xfId="0" applyNumberFormat="1" applyFont="1" applyFill="1" applyAlignment="1">
      <alignment horizontal="center"/>
    </xf>
    <xf numFmtId="37" fontId="5" fillId="4" borderId="0" xfId="0" applyNumberFormat="1" applyFont="1" applyFill="1" applyAlignment="1">
      <alignment horizontal="center"/>
    </xf>
    <xf numFmtId="166" fontId="4" fillId="4" borderId="0" xfId="0" applyNumberFormat="1" applyFont="1" applyFill="1"/>
    <xf numFmtId="179" fontId="0" fillId="4" borderId="0" xfId="0" applyNumberFormat="1" applyFill="1" applyAlignment="1">
      <alignment horizontal="center"/>
    </xf>
    <xf numFmtId="0" fontId="52" fillId="7" borderId="0" xfId="0" applyFont="1" applyFill="1" applyAlignment="1">
      <alignment wrapText="1"/>
    </xf>
    <xf numFmtId="0" fontId="4" fillId="0" borderId="0" xfId="0" applyFont="1" applyAlignment="1">
      <alignment wrapText="1"/>
    </xf>
    <xf numFmtId="166" fontId="4" fillId="0" borderId="0" xfId="0" applyNumberFormat="1" applyFont="1" applyAlignment="1">
      <alignment wrapText="1"/>
    </xf>
    <xf numFmtId="0" fontId="4" fillId="0" borderId="0" xfId="0" applyFont="1" applyAlignment="1">
      <alignment horizontal="right" wrapText="1"/>
    </xf>
    <xf numFmtId="166" fontId="4" fillId="0" borderId="0" xfId="2" applyNumberFormat="1" applyFont="1" applyAlignment="1">
      <alignment wrapText="1"/>
    </xf>
    <xf numFmtId="166" fontId="4" fillId="0" borderId="0" xfId="2" applyNumberFormat="1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9" fontId="4" fillId="0" borderId="0" xfId="2" applyFont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2" fontId="4" fillId="0" borderId="0" xfId="2" applyNumberFormat="1" applyFont="1" applyAlignment="1">
      <alignment horizontal="right" wrapText="1"/>
    </xf>
    <xf numFmtId="175" fontId="4" fillId="0" borderId="0" xfId="0" applyNumberFormat="1" applyFont="1" applyAlignment="1">
      <alignment horizontal="right" wrapText="1"/>
    </xf>
    <xf numFmtId="1" fontId="4" fillId="0" borderId="0" xfId="0" applyNumberFormat="1" applyFont="1" applyAlignment="1">
      <alignment horizontal="right" wrapText="1"/>
    </xf>
    <xf numFmtId="164" fontId="4" fillId="4" borderId="0" xfId="3" applyNumberFormat="1" applyFont="1" applyFill="1" applyAlignment="1">
      <alignment horizontal="right" vertical="center"/>
    </xf>
    <xf numFmtId="164" fontId="4" fillId="4" borderId="0" xfId="3" applyNumberFormat="1" applyFont="1" applyFill="1" applyAlignment="1">
      <alignment horizontal="right"/>
    </xf>
    <xf numFmtId="0" fontId="3" fillId="2" borderId="5" xfId="0" applyFont="1" applyFill="1" applyBorder="1"/>
    <xf numFmtId="164" fontId="3" fillId="2" borderId="5" xfId="3" applyNumberFormat="1" applyFont="1" applyFill="1" applyBorder="1" applyAlignment="1">
      <alignment horizontal="right"/>
    </xf>
    <xf numFmtId="164" fontId="3" fillId="3" borderId="0" xfId="3" applyNumberFormat="1" applyFont="1" applyFill="1" applyAlignment="1">
      <alignment horizontal="right"/>
    </xf>
    <xf numFmtId="10" fontId="4" fillId="0" borderId="0" xfId="2" applyNumberFormat="1" applyFont="1" applyAlignment="1">
      <alignment horizontal="right"/>
    </xf>
    <xf numFmtId="10" fontId="4" fillId="4" borderId="0" xfId="2" applyNumberFormat="1" applyFont="1" applyFill="1" applyAlignment="1">
      <alignment horizontal="right"/>
    </xf>
    <xf numFmtId="0" fontId="7" fillId="19" borderId="0" xfId="0" applyFont="1" applyFill="1"/>
    <xf numFmtId="3" fontId="4" fillId="0" borderId="0" xfId="0" applyNumberFormat="1" applyFont="1"/>
    <xf numFmtId="0" fontId="5" fillId="0" borderId="7" xfId="0" applyFont="1" applyBorder="1"/>
    <xf numFmtId="3" fontId="5" fillId="0" borderId="7" xfId="0" applyNumberFormat="1" applyFont="1" applyBorder="1"/>
    <xf numFmtId="0" fontId="3" fillId="21" borderId="0" xfId="0" applyFont="1" applyFill="1"/>
    <xf numFmtId="0" fontId="26" fillId="4" borderId="0" xfId="0" applyFont="1" applyFill="1"/>
    <xf numFmtId="0" fontId="7" fillId="19" borderId="0" xfId="0" applyFont="1" applyFill="1" applyAlignment="1">
      <alignment horizontal="left"/>
    </xf>
    <xf numFmtId="0" fontId="3" fillId="19" borderId="0" xfId="0" applyFont="1" applyFill="1" applyAlignment="1">
      <alignment horizontal="left"/>
    </xf>
    <xf numFmtId="9" fontId="53" fillId="0" borderId="0" xfId="0" applyNumberFormat="1" applyFont="1" applyAlignment="1">
      <alignment horizontal="right"/>
    </xf>
    <xf numFmtId="43" fontId="4" fillId="0" borderId="0" xfId="3" applyFont="1"/>
    <xf numFmtId="166" fontId="53" fillId="0" borderId="0" xfId="0" applyNumberFormat="1" applyFont="1"/>
    <xf numFmtId="166" fontId="4" fillId="18" borderId="0" xfId="2" applyNumberFormat="1" applyFont="1" applyFill="1"/>
    <xf numFmtId="166" fontId="5" fillId="18" borderId="0" xfId="2" applyNumberFormat="1" applyFont="1" applyFill="1"/>
    <xf numFmtId="4" fontId="4" fillId="4" borderId="0" xfId="0" applyNumberFormat="1" applyFont="1" applyFill="1"/>
    <xf numFmtId="0" fontId="3" fillId="21" borderId="0" xfId="0" applyFont="1" applyFill="1" applyAlignment="1">
      <alignment vertical="center" textRotation="90"/>
    </xf>
    <xf numFmtId="10" fontId="4" fillId="22" borderId="0" xfId="0" applyNumberFormat="1" applyFont="1" applyFill="1"/>
    <xf numFmtId="164" fontId="4" fillId="18" borderId="0" xfId="3" applyNumberFormat="1" applyFont="1" applyFill="1"/>
    <xf numFmtId="164" fontId="3" fillId="19" borderId="0" xfId="3" applyNumberFormat="1" applyFont="1" applyFill="1"/>
    <xf numFmtId="164" fontId="53" fillId="0" borderId="0" xfId="3" applyNumberFormat="1" applyFont="1"/>
    <xf numFmtId="2" fontId="5" fillId="20" borderId="7" xfId="3" applyNumberFormat="1" applyFont="1" applyFill="1" applyBorder="1"/>
    <xf numFmtId="0" fontId="26" fillId="0" borderId="0" xfId="0" applyFont="1"/>
    <xf numFmtId="0" fontId="7" fillId="6" borderId="1" xfId="0" applyFont="1" applyFill="1" applyBorder="1"/>
    <xf numFmtId="0" fontId="54" fillId="0" borderId="0" xfId="0" applyFont="1"/>
    <xf numFmtId="0" fontId="43" fillId="4" borderId="5" xfId="0" applyFont="1" applyFill="1" applyBorder="1"/>
    <xf numFmtId="0" fontId="5" fillId="18" borderId="6" xfId="0" applyFont="1" applyFill="1" applyBorder="1"/>
    <xf numFmtId="180" fontId="5" fillId="18" borderId="6" xfId="0" applyNumberFormat="1" applyFont="1" applyFill="1" applyBorder="1"/>
    <xf numFmtId="164" fontId="5" fillId="0" borderId="3" xfId="3" applyNumberFormat="1" applyFont="1" applyBorder="1"/>
    <xf numFmtId="0" fontId="55" fillId="0" borderId="5" xfId="0" applyFont="1" applyBorder="1"/>
    <xf numFmtId="0" fontId="50" fillId="0" borderId="1" xfId="0" applyFont="1" applyBorder="1"/>
    <xf numFmtId="0" fontId="23" fillId="0" borderId="1" xfId="0" applyFont="1" applyBorder="1"/>
    <xf numFmtId="9" fontId="4" fillId="0" borderId="2" xfId="2" applyFont="1" applyBorder="1"/>
    <xf numFmtId="0" fontId="26" fillId="4" borderId="3" xfId="0" applyFont="1" applyFill="1" applyBorder="1"/>
    <xf numFmtId="164" fontId="30" fillId="4" borderId="3" xfId="3" applyNumberFormat="1" applyFont="1" applyFill="1" applyBorder="1" applyAlignment="1">
      <alignment horizontal="right"/>
    </xf>
    <xf numFmtId="164" fontId="5" fillId="0" borderId="3" xfId="3" applyNumberFormat="1" applyFont="1" applyBorder="1" applyAlignment="1">
      <alignment horizontal="right"/>
    </xf>
    <xf numFmtId="164" fontId="3" fillId="2" borderId="0" xfId="3" applyNumberFormat="1" applyFont="1" applyFill="1" applyAlignment="1">
      <alignment horizontal="right"/>
    </xf>
    <xf numFmtId="164" fontId="2" fillId="0" borderId="3" xfId="3" applyNumberFormat="1" applyFont="1" applyBorder="1"/>
    <xf numFmtId="0" fontId="3" fillId="3" borderId="3" xfId="0" applyFont="1" applyFill="1" applyBorder="1"/>
    <xf numFmtId="166" fontId="3" fillId="3" borderId="3" xfId="2" applyNumberFormat="1" applyFont="1" applyFill="1" applyBorder="1"/>
    <xf numFmtId="0" fontId="12" fillId="4" borderId="0" xfId="0" applyFont="1" applyFill="1"/>
    <xf numFmtId="164" fontId="13" fillId="4" borderId="0" xfId="0" applyNumberFormat="1" applyFont="1" applyFill="1"/>
    <xf numFmtId="0" fontId="13" fillId="4" borderId="0" xfId="0" applyFont="1" applyFill="1"/>
    <xf numFmtId="0" fontId="11" fillId="4" borderId="0" xfId="0" applyFont="1" applyFill="1" applyAlignment="1">
      <alignment vertical="center" wrapText="1"/>
    </xf>
    <xf numFmtId="166" fontId="4" fillId="5" borderId="0" xfId="2" applyNumberFormat="1" applyFont="1" applyFill="1" applyAlignment="1">
      <alignment horizontal="right"/>
    </xf>
    <xf numFmtId="166" fontId="4" fillId="4" borderId="0" xfId="2" applyNumberFormat="1" applyFont="1" applyFill="1" applyAlignment="1">
      <alignment horizontal="right"/>
    </xf>
    <xf numFmtId="166" fontId="5" fillId="4" borderId="0" xfId="2" applyNumberFormat="1" applyFont="1" applyFill="1" applyAlignment="1">
      <alignment horizontal="right"/>
    </xf>
    <xf numFmtId="166" fontId="3" fillId="3" borderId="0" xfId="2" applyNumberFormat="1" applyFont="1" applyFill="1" applyAlignment="1">
      <alignment horizontal="right"/>
    </xf>
    <xf numFmtId="166" fontId="3" fillId="9" borderId="0" xfId="2" applyNumberFormat="1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5" fillId="5" borderId="3" xfId="0" applyFont="1" applyFill="1" applyBorder="1"/>
    <xf numFmtId="166" fontId="5" fillId="5" borderId="3" xfId="2" applyNumberFormat="1" applyFont="1" applyFill="1" applyBorder="1" applyAlignment="1">
      <alignment horizontal="right"/>
    </xf>
    <xf numFmtId="166" fontId="3" fillId="8" borderId="0" xfId="2" applyNumberFormat="1" applyFont="1" applyFill="1" applyAlignment="1">
      <alignment horizontal="right"/>
    </xf>
    <xf numFmtId="166" fontId="3" fillId="7" borderId="0" xfId="2" applyNumberFormat="1" applyFont="1" applyFill="1" applyAlignment="1">
      <alignment horizontal="right"/>
    </xf>
    <xf numFmtId="166" fontId="3" fillId="6" borderId="0" xfId="2" applyNumberFormat="1" applyFont="1" applyFill="1" applyAlignment="1">
      <alignment horizontal="right"/>
    </xf>
    <xf numFmtId="166" fontId="3" fillId="6" borderId="0" xfId="2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58" fillId="0" borderId="0" xfId="0" applyFont="1"/>
    <xf numFmtId="3" fontId="58" fillId="0" borderId="0" xfId="0" applyNumberFormat="1" applyFont="1" applyAlignment="1">
      <alignment horizontal="center"/>
    </xf>
    <xf numFmtId="10" fontId="58" fillId="0" borderId="0" xfId="0" applyNumberFormat="1" applyFont="1" applyAlignment="1">
      <alignment horizontal="center"/>
    </xf>
    <xf numFmtId="166" fontId="58" fillId="0" borderId="0" xfId="2" applyNumberFormat="1" applyFont="1" applyAlignment="1">
      <alignment horizontal="center"/>
    </xf>
    <xf numFmtId="2" fontId="58" fillId="0" borderId="0" xfId="0" applyNumberFormat="1" applyFont="1" applyAlignment="1">
      <alignment horizontal="center"/>
    </xf>
    <xf numFmtId="9" fontId="58" fillId="0" borderId="0" xfId="2" applyFont="1" applyAlignment="1">
      <alignment horizontal="center"/>
    </xf>
    <xf numFmtId="0" fontId="58" fillId="0" borderId="0" xfId="0" applyFont="1" applyAlignment="1">
      <alignment horizontal="center"/>
    </xf>
    <xf numFmtId="166" fontId="58" fillId="0" borderId="0" xfId="0" applyNumberFormat="1" applyFont="1" applyAlignment="1">
      <alignment horizontal="center"/>
    </xf>
    <xf numFmtId="0" fontId="57" fillId="4" borderId="5" xfId="0" applyFont="1" applyFill="1" applyBorder="1"/>
    <xf numFmtId="10" fontId="57" fillId="4" borderId="5" xfId="0" applyNumberFormat="1" applyFont="1" applyFill="1" applyBorder="1" applyAlignment="1">
      <alignment horizontal="center"/>
    </xf>
    <xf numFmtId="0" fontId="57" fillId="0" borderId="0" xfId="0" applyFont="1"/>
    <xf numFmtId="10" fontId="57" fillId="0" borderId="0" xfId="0" applyNumberFormat="1" applyFont="1" applyAlignment="1">
      <alignment horizontal="center"/>
    </xf>
    <xf numFmtId="10" fontId="57" fillId="0" borderId="0" xfId="2" applyNumberFormat="1" applyFont="1" applyAlignment="1">
      <alignment horizontal="center"/>
    </xf>
    <xf numFmtId="0" fontId="18" fillId="6" borderId="1" xfId="0" applyFont="1" applyFill="1" applyBorder="1"/>
    <xf numFmtId="166" fontId="58" fillId="0" borderId="0" xfId="2" applyNumberFormat="1" applyFont="1"/>
    <xf numFmtId="0" fontId="18" fillId="7" borderId="5" xfId="0" applyFont="1" applyFill="1" applyBorder="1"/>
    <xf numFmtId="166" fontId="18" fillId="7" borderId="5" xfId="2" applyNumberFormat="1" applyFont="1" applyFill="1" applyBorder="1"/>
    <xf numFmtId="164" fontId="5" fillId="0" borderId="7" xfId="3" applyNumberFormat="1" applyFont="1" applyBorder="1"/>
    <xf numFmtId="3" fontId="5" fillId="0" borderId="0" xfId="0" applyNumberFormat="1" applyFont="1"/>
    <xf numFmtId="168" fontId="0" fillId="0" borderId="0" xfId="1" applyNumberFormat="1" applyFont="1"/>
    <xf numFmtId="0" fontId="44" fillId="27" borderId="0" xfId="5" applyFont="1" applyFill="1"/>
    <xf numFmtId="0" fontId="19" fillId="27" borderId="0" xfId="0" applyFont="1" applyFill="1"/>
    <xf numFmtId="0" fontId="2" fillId="0" borderId="0" xfId="0" applyFont="1" applyAlignment="1">
      <alignment horizontal="right"/>
    </xf>
    <xf numFmtId="0" fontId="59" fillId="0" borderId="0" xfId="13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60" fillId="0" borderId="0" xfId="5" applyFont="1" applyAlignment="1">
      <alignment horizontal="left"/>
    </xf>
    <xf numFmtId="0" fontId="61" fillId="0" borderId="0" xfId="0" applyFont="1" applyAlignment="1">
      <alignment horizontal="left"/>
    </xf>
    <xf numFmtId="9" fontId="0" fillId="0" borderId="0" xfId="0" applyNumberFormat="1" applyAlignment="1">
      <alignment horizontal="left" vertical="top"/>
    </xf>
    <xf numFmtId="0" fontId="61" fillId="0" borderId="0" xfId="0" applyFont="1" applyAlignment="1">
      <alignment horizontal="left" vertical="top"/>
    </xf>
    <xf numFmtId="0" fontId="65" fillId="29" borderId="0" xfId="0" applyFont="1" applyFill="1" applyAlignment="1">
      <alignment horizontal="center" vertical="center"/>
    </xf>
    <xf numFmtId="0" fontId="66" fillId="30" borderId="0" xfId="0" applyFont="1" applyFill="1" applyAlignment="1">
      <alignment horizontal="left" vertical="center" wrapText="1"/>
    </xf>
    <xf numFmtId="10" fontId="67" fillId="30" borderId="0" xfId="0" applyNumberFormat="1" applyFont="1" applyFill="1" applyAlignment="1">
      <alignment horizontal="center" vertical="center"/>
    </xf>
    <xf numFmtId="0" fontId="0" fillId="30" borderId="0" xfId="0" applyFill="1"/>
    <xf numFmtId="0" fontId="68" fillId="30" borderId="0" xfId="0" applyFont="1" applyFill="1" applyAlignment="1">
      <alignment horizontal="left" vertical="center" wrapText="1"/>
    </xf>
    <xf numFmtId="0" fontId="69" fillId="30" borderId="0" xfId="0" applyFont="1" applyFill="1" applyAlignment="1">
      <alignment horizontal="left" vertical="center"/>
    </xf>
    <xf numFmtId="0" fontId="66" fillId="31" borderId="0" xfId="0" applyFont="1" applyFill="1" applyAlignment="1">
      <alignment horizontal="left" vertical="center" wrapText="1"/>
    </xf>
    <xf numFmtId="10" fontId="67" fillId="31" borderId="0" xfId="0" applyNumberFormat="1" applyFont="1" applyFill="1" applyAlignment="1">
      <alignment horizontal="center" vertical="center"/>
    </xf>
    <xf numFmtId="0" fontId="0" fillId="31" borderId="0" xfId="0" applyFill="1"/>
    <xf numFmtId="0" fontId="68" fillId="31" borderId="0" xfId="0" applyFont="1" applyFill="1" applyAlignment="1">
      <alignment horizontal="left" vertical="center" wrapText="1"/>
    </xf>
    <xf numFmtId="0" fontId="69" fillId="31" borderId="0" xfId="0" applyFont="1" applyFill="1" applyAlignment="1">
      <alignment horizontal="left" vertical="center"/>
    </xf>
    <xf numFmtId="2" fontId="67" fillId="30" borderId="0" xfId="0" applyNumberFormat="1" applyFont="1" applyFill="1" applyAlignment="1">
      <alignment horizontal="center" vertical="center"/>
    </xf>
    <xf numFmtId="0" fontId="70" fillId="30" borderId="0" xfId="0" applyFont="1" applyFill="1" applyAlignment="1">
      <alignment horizontal="left" vertical="center" wrapText="1"/>
    </xf>
    <xf numFmtId="10" fontId="71" fillId="32" borderId="0" xfId="0" applyNumberFormat="1" applyFont="1" applyFill="1" applyAlignment="1">
      <alignment horizontal="center" vertical="center"/>
    </xf>
    <xf numFmtId="1" fontId="67" fillId="30" borderId="0" xfId="0" applyNumberFormat="1" applyFont="1" applyFill="1" applyAlignment="1">
      <alignment horizontal="center" vertical="center"/>
    </xf>
    <xf numFmtId="0" fontId="70" fillId="31" borderId="0" xfId="0" applyFont="1" applyFill="1" applyAlignment="1">
      <alignment horizontal="left" vertical="center" wrapText="1"/>
    </xf>
    <xf numFmtId="10" fontId="72" fillId="33" borderId="0" xfId="0" applyNumberFormat="1" applyFont="1" applyFill="1" applyAlignment="1">
      <alignment horizontal="center" vertical="center"/>
    </xf>
    <xf numFmtId="0" fontId="67" fillId="30" borderId="0" xfId="0" applyFont="1" applyFill="1" applyAlignment="1">
      <alignment horizontal="center" vertical="center"/>
    </xf>
    <xf numFmtId="3" fontId="67" fillId="31" borderId="0" xfId="0" applyNumberFormat="1" applyFont="1" applyFill="1" applyAlignment="1">
      <alignment horizontal="center" vertical="center"/>
    </xf>
    <xf numFmtId="181" fontId="67" fillId="31" borderId="0" xfId="0" applyNumberFormat="1" applyFont="1" applyFill="1" applyAlignment="1">
      <alignment horizontal="center" vertical="center"/>
    </xf>
    <xf numFmtId="9" fontId="67" fillId="30" borderId="0" xfId="0" applyNumberFormat="1" applyFont="1" applyFill="1" applyAlignment="1">
      <alignment horizontal="center" vertical="center"/>
    </xf>
    <xf numFmtId="9" fontId="66" fillId="30" borderId="0" xfId="0" applyNumberFormat="1" applyFont="1" applyFill="1" applyAlignment="1">
      <alignment horizontal="center" vertical="center"/>
    </xf>
    <xf numFmtId="9" fontId="67" fillId="31" borderId="0" xfId="0" applyNumberFormat="1" applyFont="1" applyFill="1" applyAlignment="1">
      <alignment horizontal="center" vertical="center"/>
    </xf>
    <xf numFmtId="9" fontId="66" fillId="31" borderId="0" xfId="0" applyNumberFormat="1" applyFont="1" applyFill="1" applyAlignment="1">
      <alignment horizontal="center" vertical="center"/>
    </xf>
    <xf numFmtId="166" fontId="67" fillId="30" borderId="0" xfId="0" applyNumberFormat="1" applyFont="1" applyFill="1" applyAlignment="1">
      <alignment horizontal="center" vertical="center"/>
    </xf>
    <xf numFmtId="166" fontId="66" fillId="30" borderId="0" xfId="0" applyNumberFormat="1" applyFont="1" applyFill="1" applyAlignment="1">
      <alignment horizontal="center" vertical="center"/>
    </xf>
    <xf numFmtId="10" fontId="66" fillId="30" borderId="0" xfId="0" applyNumberFormat="1" applyFont="1" applyFill="1" applyAlignment="1">
      <alignment horizontal="center" vertical="center"/>
    </xf>
    <xf numFmtId="182" fontId="67" fillId="31" borderId="0" xfId="0" applyNumberFormat="1" applyFont="1" applyFill="1" applyAlignment="1">
      <alignment horizontal="center" vertical="center"/>
    </xf>
    <xf numFmtId="3" fontId="67" fillId="30" borderId="0" xfId="0" applyNumberFormat="1" applyFont="1" applyFill="1" applyAlignment="1">
      <alignment horizontal="center" vertical="center"/>
    </xf>
    <xf numFmtId="3" fontId="66" fillId="30" borderId="0" xfId="0" applyNumberFormat="1" applyFont="1" applyFill="1" applyAlignment="1">
      <alignment horizontal="center" vertical="center"/>
    </xf>
    <xf numFmtId="0" fontId="65" fillId="29" borderId="16" xfId="0" applyFont="1" applyFill="1" applyBorder="1" applyAlignment="1">
      <alignment horizontal="center" vertical="center"/>
    </xf>
    <xf numFmtId="0" fontId="66" fillId="30" borderId="16" xfId="0" applyFont="1" applyFill="1" applyBorder="1" applyAlignment="1">
      <alignment horizontal="left" vertical="center"/>
    </xf>
    <xf numFmtId="0" fontId="75" fillId="30" borderId="16" xfId="0" applyFont="1" applyFill="1" applyBorder="1" applyAlignment="1">
      <alignment horizontal="center" vertical="center"/>
    </xf>
    <xf numFmtId="0" fontId="73" fillId="30" borderId="0" xfId="0" applyFont="1" applyFill="1" applyAlignment="1">
      <alignment horizontal="left" vertical="center" wrapText="1"/>
    </xf>
    <xf numFmtId="0" fontId="66" fillId="31" borderId="16" xfId="0" applyFont="1" applyFill="1" applyBorder="1" applyAlignment="1">
      <alignment horizontal="left" vertical="center"/>
    </xf>
    <xf numFmtId="175" fontId="75" fillId="31" borderId="16" xfId="0" applyNumberFormat="1" applyFont="1" applyFill="1" applyBorder="1" applyAlignment="1">
      <alignment horizontal="center" vertical="center"/>
    </xf>
    <xf numFmtId="0" fontId="73" fillId="31" borderId="0" xfId="0" applyFont="1" applyFill="1" applyAlignment="1">
      <alignment horizontal="left" vertical="center" wrapText="1"/>
    </xf>
    <xf numFmtId="0" fontId="75" fillId="31" borderId="16" xfId="0" applyFont="1" applyFill="1" applyBorder="1" applyAlignment="1">
      <alignment horizontal="center" vertical="center"/>
    </xf>
    <xf numFmtId="0" fontId="76" fillId="32" borderId="16" xfId="0" applyFont="1" applyFill="1" applyBorder="1" applyAlignment="1">
      <alignment horizontal="left" vertical="center"/>
    </xf>
    <xf numFmtId="0" fontId="71" fillId="32" borderId="16" xfId="0" applyFont="1" applyFill="1" applyBorder="1" applyAlignment="1">
      <alignment horizontal="center" vertical="center"/>
    </xf>
    <xf numFmtId="0" fontId="73" fillId="32" borderId="0" xfId="0" applyFont="1" applyFill="1" applyAlignment="1">
      <alignment horizontal="left" vertical="center" wrapText="1"/>
    </xf>
    <xf numFmtId="2" fontId="75" fillId="31" borderId="16" xfId="0" applyNumberFormat="1" applyFont="1" applyFill="1" applyBorder="1" applyAlignment="1">
      <alignment horizontal="center" vertical="center"/>
    </xf>
    <xf numFmtId="0" fontId="73" fillId="31" borderId="0" xfId="0" applyFont="1" applyFill="1" applyAlignment="1">
      <alignment horizontal="left" vertical="center"/>
    </xf>
    <xf numFmtId="183" fontId="75" fillId="31" borderId="16" xfId="0" applyNumberFormat="1" applyFont="1" applyFill="1" applyBorder="1" applyAlignment="1">
      <alignment horizontal="center" vertical="center"/>
    </xf>
    <xf numFmtId="0" fontId="76" fillId="33" borderId="16" xfId="0" applyFont="1" applyFill="1" applyBorder="1" applyAlignment="1">
      <alignment horizontal="left" vertical="center"/>
    </xf>
    <xf numFmtId="2" fontId="72" fillId="33" borderId="16" xfId="0" applyNumberFormat="1" applyFont="1" applyFill="1" applyBorder="1" applyAlignment="1">
      <alignment horizontal="center" vertical="center"/>
    </xf>
    <xf numFmtId="0" fontId="73" fillId="33" borderId="0" xfId="0" applyFont="1" applyFill="1" applyAlignment="1">
      <alignment horizontal="left" vertical="center"/>
    </xf>
    <xf numFmtId="0" fontId="65" fillId="28" borderId="16" xfId="0" applyFont="1" applyFill="1" applyBorder="1" applyAlignment="1">
      <alignment horizontal="center" vertical="center"/>
    </xf>
    <xf numFmtId="166" fontId="65" fillId="28" borderId="16" xfId="0" applyNumberFormat="1" applyFont="1" applyFill="1" applyBorder="1" applyAlignment="1">
      <alignment horizontal="center" vertical="center"/>
    </xf>
    <xf numFmtId="166" fontId="66" fillId="36" borderId="16" xfId="0" applyNumberFormat="1" applyFont="1" applyFill="1" applyBorder="1" applyAlignment="1">
      <alignment horizontal="center" vertical="center"/>
    </xf>
    <xf numFmtId="2" fontId="66" fillId="36" borderId="16" xfId="0" applyNumberFormat="1" applyFont="1" applyFill="1" applyBorder="1" applyAlignment="1">
      <alignment horizontal="center" vertical="center"/>
    </xf>
    <xf numFmtId="166" fontId="66" fillId="31" borderId="16" xfId="0" applyNumberFormat="1" applyFont="1" applyFill="1" applyBorder="1" applyAlignment="1">
      <alignment horizontal="center" vertical="center"/>
    </xf>
    <xf numFmtId="2" fontId="66" fillId="31" borderId="16" xfId="0" applyNumberFormat="1" applyFont="1" applyFill="1" applyBorder="1" applyAlignment="1">
      <alignment horizontal="center" vertical="center"/>
    </xf>
    <xf numFmtId="166" fontId="65" fillId="29" borderId="16" xfId="0" applyNumberFormat="1" applyFont="1" applyFill="1" applyBorder="1" applyAlignment="1">
      <alignment horizontal="center" vertical="center"/>
    </xf>
    <xf numFmtId="2" fontId="65" fillId="35" borderId="16" xfId="0" applyNumberFormat="1" applyFont="1" applyFill="1" applyBorder="1" applyAlignment="1">
      <alignment horizontal="center" vertical="center"/>
    </xf>
    <xf numFmtId="3" fontId="66" fillId="36" borderId="16" xfId="0" applyNumberFormat="1" applyFont="1" applyFill="1" applyBorder="1" applyAlignment="1">
      <alignment horizontal="center" vertical="center"/>
    </xf>
    <xf numFmtId="3" fontId="66" fillId="31" borderId="16" xfId="0" applyNumberFormat="1" applyFont="1" applyFill="1" applyBorder="1" applyAlignment="1">
      <alignment horizontal="center" vertical="center"/>
    </xf>
    <xf numFmtId="3" fontId="72" fillId="33" borderId="16" xfId="0" applyNumberFormat="1" applyFont="1" applyFill="1" applyBorder="1" applyAlignment="1">
      <alignment horizontal="center" vertical="center"/>
    </xf>
    <xf numFmtId="3" fontId="65" fillId="35" borderId="16" xfId="0" applyNumberFormat="1" applyFont="1" applyFill="1" applyBorder="1" applyAlignment="1">
      <alignment horizontal="center" vertical="center"/>
    </xf>
    <xf numFmtId="0" fontId="65" fillId="28" borderId="16" xfId="0" applyFont="1" applyFill="1" applyBorder="1" applyAlignment="1">
      <alignment horizontal="left" vertical="center"/>
    </xf>
    <xf numFmtId="3" fontId="79" fillId="31" borderId="16" xfId="0" applyNumberFormat="1" applyFont="1" applyFill="1" applyBorder="1" applyAlignment="1">
      <alignment horizontal="center"/>
    </xf>
    <xf numFmtId="3" fontId="79" fillId="30" borderId="16" xfId="0" applyNumberFormat="1" applyFont="1" applyFill="1" applyBorder="1" applyAlignment="1">
      <alignment horizontal="center"/>
    </xf>
    <xf numFmtId="2" fontId="70" fillId="0" borderId="16" xfId="0" applyNumberFormat="1" applyFont="1" applyBorder="1" applyAlignment="1">
      <alignment horizontal="center"/>
    </xf>
    <xf numFmtId="0" fontId="76" fillId="30" borderId="16" xfId="0" applyFont="1" applyFill="1" applyBorder="1" applyAlignment="1">
      <alignment horizontal="left" vertical="center"/>
    </xf>
    <xf numFmtId="10" fontId="75" fillId="31" borderId="16" xfId="0" applyNumberFormat="1" applyFont="1" applyFill="1" applyBorder="1" applyAlignment="1">
      <alignment horizontal="center" vertical="center"/>
    </xf>
    <xf numFmtId="10" fontId="75" fillId="30" borderId="16" xfId="0" applyNumberFormat="1" applyFont="1" applyFill="1" applyBorder="1" applyAlignment="1">
      <alignment horizontal="center" vertical="center"/>
    </xf>
    <xf numFmtId="3" fontId="75" fillId="31" borderId="16" xfId="0" applyNumberFormat="1" applyFont="1" applyFill="1" applyBorder="1" applyAlignment="1">
      <alignment horizontal="center" vertical="center"/>
    </xf>
    <xf numFmtId="3" fontId="75" fillId="30" borderId="16" xfId="0" applyNumberFormat="1" applyFont="1" applyFill="1" applyBorder="1" applyAlignment="1">
      <alignment horizontal="center" vertical="center"/>
    </xf>
    <xf numFmtId="184" fontId="71" fillId="32" borderId="16" xfId="0" applyNumberFormat="1" applyFont="1" applyFill="1" applyBorder="1" applyAlignment="1">
      <alignment horizontal="center" vertical="center"/>
    </xf>
    <xf numFmtId="0" fontId="66" fillId="33" borderId="16" xfId="0" applyFont="1" applyFill="1" applyBorder="1" applyAlignment="1">
      <alignment horizontal="left" vertical="center"/>
    </xf>
    <xf numFmtId="184" fontId="72" fillId="33" borderId="16" xfId="0" applyNumberFormat="1" applyFont="1" applyFill="1" applyBorder="1" applyAlignment="1">
      <alignment horizontal="center" vertical="center"/>
    </xf>
    <xf numFmtId="185" fontId="72" fillId="33" borderId="16" xfId="0" applyNumberFormat="1" applyFont="1" applyFill="1" applyBorder="1" applyAlignment="1">
      <alignment horizontal="center" vertical="center"/>
    </xf>
    <xf numFmtId="0" fontId="80" fillId="37" borderId="0" xfId="0" applyFont="1" applyFill="1"/>
    <xf numFmtId="0" fontId="81" fillId="0" borderId="0" xfId="0" applyFont="1"/>
    <xf numFmtId="0" fontId="80" fillId="0" borderId="0" xfId="0" applyFont="1"/>
    <xf numFmtId="0" fontId="80" fillId="37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82" fillId="0" borderId="0" xfId="0" applyFont="1"/>
    <xf numFmtId="0" fontId="0" fillId="39" borderId="0" xfId="0" applyFill="1" applyAlignment="1">
      <alignment horizontal="center"/>
    </xf>
    <xf numFmtId="0" fontId="80" fillId="38" borderId="0" xfId="0" applyFont="1" applyFill="1"/>
    <xf numFmtId="0" fontId="90" fillId="0" borderId="0" xfId="0" applyFont="1"/>
    <xf numFmtId="0" fontId="91" fillId="0" borderId="0" xfId="0" applyFont="1"/>
    <xf numFmtId="0" fontId="90" fillId="45" borderId="0" xfId="0" applyFont="1" applyFill="1"/>
    <xf numFmtId="0" fontId="85" fillId="42" borderId="0" xfId="0" applyFont="1" applyFill="1" applyAlignment="1">
      <alignment horizontal="left" vertical="center"/>
    </xf>
    <xf numFmtId="0" fontId="87" fillId="43" borderId="17" xfId="0" applyFont="1" applyFill="1" applyBorder="1" applyAlignment="1">
      <alignment horizontal="left" vertical="center" wrapText="1"/>
    </xf>
    <xf numFmtId="0" fontId="89" fillId="43" borderId="17" xfId="0" applyFont="1" applyFill="1" applyBorder="1" applyAlignment="1">
      <alignment horizontal="left" vertical="center" wrapText="1"/>
    </xf>
    <xf numFmtId="0" fontId="87" fillId="44" borderId="17" xfId="0" applyFont="1" applyFill="1" applyBorder="1" applyAlignment="1">
      <alignment horizontal="left" vertical="center" wrapText="1"/>
    </xf>
    <xf numFmtId="0" fontId="89" fillId="44" borderId="17" xfId="0" applyFont="1" applyFill="1" applyBorder="1" applyAlignment="1">
      <alignment horizontal="left" vertical="center" wrapText="1"/>
    </xf>
    <xf numFmtId="0" fontId="86" fillId="43" borderId="17" xfId="0" applyFont="1" applyFill="1" applyBorder="1" applyAlignment="1">
      <alignment horizontal="left" vertical="center"/>
    </xf>
    <xf numFmtId="0" fontId="87" fillId="43" borderId="17" xfId="0" applyFont="1" applyFill="1" applyBorder="1" applyAlignment="1">
      <alignment horizontal="left" vertical="center"/>
    </xf>
    <xf numFmtId="0" fontId="86" fillId="44" borderId="17" xfId="0" applyFont="1" applyFill="1" applyBorder="1" applyAlignment="1">
      <alignment horizontal="left" vertical="center"/>
    </xf>
    <xf numFmtId="0" fontId="87" fillId="44" borderId="17" xfId="0" applyFont="1" applyFill="1" applyBorder="1" applyAlignment="1">
      <alignment horizontal="left" vertical="center"/>
    </xf>
    <xf numFmtId="0" fontId="92" fillId="46" borderId="20" xfId="0" applyFont="1" applyFill="1" applyBorder="1" applyAlignment="1">
      <alignment horizontal="left" vertical="center"/>
    </xf>
    <xf numFmtId="0" fontId="92" fillId="47" borderId="20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center" vertical="center"/>
    </xf>
    <xf numFmtId="0" fontId="0" fillId="0" borderId="0" xfId="0"/>
    <xf numFmtId="0" fontId="73" fillId="34" borderId="0" xfId="0" applyFont="1" applyFill="1" applyAlignment="1">
      <alignment horizontal="left" vertical="center" wrapText="1"/>
    </xf>
    <xf numFmtId="0" fontId="64" fillId="28" borderId="0" xfId="0" applyFont="1" applyFill="1" applyAlignment="1">
      <alignment horizontal="left" vertical="center"/>
    </xf>
    <xf numFmtId="0" fontId="63" fillId="29" borderId="0" xfId="0" applyFont="1" applyFill="1" applyAlignment="1">
      <alignment horizontal="left" vertical="center"/>
    </xf>
    <xf numFmtId="0" fontId="62" fillId="28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7" fillId="6" borderId="0" xfId="0" applyFont="1" applyFill="1" applyAlignment="1">
      <alignment horizontal="left" vertical="top"/>
    </xf>
    <xf numFmtId="0" fontId="74" fillId="29" borderId="0" xfId="0" applyFont="1" applyFill="1" applyAlignment="1">
      <alignment horizontal="left" vertical="center"/>
    </xf>
    <xf numFmtId="0" fontId="23" fillId="0" borderId="0" xfId="0" applyFont="1"/>
    <xf numFmtId="0" fontId="3" fillId="19" borderId="0" xfId="0" applyFont="1" applyFill="1" applyAlignment="1">
      <alignment horizontal="center" vertical="center" textRotation="90"/>
    </xf>
    <xf numFmtId="0" fontId="7" fillId="19" borderId="0" xfId="0" applyFont="1" applyFill="1" applyAlignment="1">
      <alignment horizontal="center"/>
    </xf>
    <xf numFmtId="43" fontId="22" fillId="21" borderId="0" xfId="3" applyFont="1" applyFill="1" applyAlignment="1">
      <alignment horizontal="center"/>
    </xf>
    <xf numFmtId="43" fontId="3" fillId="19" borderId="0" xfId="3" applyFont="1" applyFill="1" applyAlignment="1">
      <alignment horizontal="center"/>
    </xf>
    <xf numFmtId="0" fontId="25" fillId="21" borderId="0" xfId="0" applyFont="1" applyFill="1" applyAlignment="1">
      <alignment horizontal="center" vertical="center" textRotation="90"/>
    </xf>
    <xf numFmtId="0" fontId="74" fillId="35" borderId="0" xfId="0" applyFont="1" applyFill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77" fillId="28" borderId="0" xfId="0" applyFont="1" applyFill="1" applyAlignment="1">
      <alignment horizontal="left" vertical="center"/>
    </xf>
    <xf numFmtId="0" fontId="56" fillId="0" borderId="1" xfId="0" applyFont="1" applyBorder="1" applyAlignment="1">
      <alignment horizontal="left" vertical="top" readingOrder="1"/>
    </xf>
    <xf numFmtId="0" fontId="0" fillId="0" borderId="1" xfId="0" applyBorder="1"/>
    <xf numFmtId="0" fontId="83" fillId="40" borderId="0" xfId="0" applyFont="1" applyFill="1" applyAlignment="1">
      <alignment horizontal="center" vertical="center"/>
    </xf>
    <xf numFmtId="0" fontId="88" fillId="42" borderId="0" xfId="0" applyFont="1" applyFill="1" applyAlignment="1">
      <alignment horizontal="left" vertical="center"/>
    </xf>
    <xf numFmtId="0" fontId="84" fillId="41" borderId="0" xfId="0" applyFont="1" applyFill="1" applyAlignment="1">
      <alignment horizontal="center" vertical="center" wrapText="1"/>
    </xf>
    <xf numFmtId="0" fontId="89" fillId="43" borderId="17" xfId="0" applyFont="1" applyFill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89" fillId="44" borderId="17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/>
    </xf>
    <xf numFmtId="0" fontId="43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left" vertical="top"/>
    </xf>
    <xf numFmtId="0" fontId="51" fillId="6" borderId="0" xfId="0" applyFont="1" applyFill="1" applyAlignment="1">
      <alignment horizontal="center" vertical="center" wrapText="1"/>
    </xf>
    <xf numFmtId="0" fontId="50" fillId="0" borderId="1" xfId="0" applyFont="1" applyBorder="1" applyAlignment="1">
      <alignment horizontal="left" vertical="top"/>
    </xf>
    <xf numFmtId="0" fontId="3" fillId="6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36" fillId="23" borderId="9" xfId="0" applyFont="1" applyFill="1" applyBorder="1" applyAlignment="1">
      <alignment horizontal="center"/>
    </xf>
    <xf numFmtId="0" fontId="0" fillId="0" borderId="9" xfId="0" applyBorder="1"/>
    <xf numFmtId="0" fontId="88" fillId="40" borderId="0" xfId="0" applyFont="1" applyFill="1" applyAlignment="1">
      <alignment horizontal="left" vertical="center"/>
    </xf>
    <xf numFmtId="0" fontId="84" fillId="41" borderId="0" xfId="0" applyFont="1" applyFill="1" applyAlignment="1">
      <alignment horizontal="center" vertical="center"/>
    </xf>
    <xf numFmtId="0" fontId="78" fillId="34" borderId="0" xfId="0" applyFont="1" applyFill="1" applyAlignment="1">
      <alignment horizontal="left" vertical="center"/>
    </xf>
    <xf numFmtId="0" fontId="87" fillId="46" borderId="20" xfId="0" applyFont="1" applyFill="1" applyBorder="1" applyAlignment="1">
      <alignment horizontal="left" vertical="center"/>
    </xf>
  </cellXfs>
  <cellStyles count="14">
    <cellStyle name="Accent6 2" xfId="9" xr:uid="{00000000-0005-0000-0000-000009000000}"/>
    <cellStyle name="Comma" xfId="3" builtinId="3"/>
    <cellStyle name="Comma 2" xfId="7" xr:uid="{00000000-0005-0000-0000-000007000000}"/>
    <cellStyle name="Currency" xfId="1" builtinId="4"/>
    <cellStyle name="GivenData" xfId="4" xr:uid="{00000000-0005-0000-0000-000004000000}"/>
    <cellStyle name="Hyperlink" xfId="13" builtinId="8"/>
    <cellStyle name="Hyperlink 2" xfId="8" xr:uid="{00000000-0005-0000-0000-000008000000}"/>
    <cellStyle name="Normal" xfId="0" builtinId="0"/>
    <cellStyle name="Normal 2" xfId="12" xr:uid="{00000000-0005-0000-0000-00000C000000}"/>
    <cellStyle name="Normal 3" xfId="10" xr:uid="{00000000-0005-0000-0000-00000A000000}"/>
    <cellStyle name="Normal 4" xfId="5" xr:uid="{00000000-0005-0000-0000-000005000000}"/>
    <cellStyle name="Percent" xfId="2" builtinId="5"/>
    <cellStyle name="Percent 2" xfId="6" xr:uid="{00000000-0005-0000-0000-000006000000}"/>
    <cellStyle name="Percent 3" xfId="11" xr:uid="{00000000-0005-0000-0000-00000B000000}"/>
  </cellStyles>
  <dxfs count="6">
    <dxf>
      <font>
        <b/>
        <color rgb="FF1D6B34"/>
        <name val="Calibri"/>
      </font>
      <fill>
        <patternFill patternType="solid">
          <fgColor rgb="FFE2EFDA"/>
        </patternFill>
      </fill>
    </dxf>
    <dxf>
      <font>
        <b/>
        <color rgb="FFC00000"/>
        <name val="Calibri"/>
      </font>
      <fill>
        <patternFill patternType="solid">
          <fgColor rgb="FFFCE4D6"/>
        </patternFill>
      </fill>
    </dxf>
    <dxf>
      <font>
        <b/>
        <color rgb="FF1D6B34"/>
        <name val="Calibri"/>
      </font>
      <fill>
        <patternFill patternType="solid">
          <fgColor rgb="FFE2EFDA"/>
        </patternFill>
      </fill>
    </dxf>
    <dxf>
      <font>
        <b/>
        <color rgb="FFC00000"/>
        <name val="Calibri"/>
      </font>
      <fill>
        <patternFill patternType="solid">
          <fgColor rgb="FFFCE4D6"/>
        </patternFill>
      </fill>
    </dxf>
    <dxf>
      <font>
        <b/>
        <color rgb="FF1D6B34"/>
        <name val="Calibri"/>
      </font>
      <fill>
        <patternFill patternType="solid">
          <fgColor rgb="FFE2EFDA"/>
        </patternFill>
      </fill>
    </dxf>
    <dxf>
      <font>
        <b/>
        <color rgb="FFC00000"/>
        <name val="Calibri"/>
      </font>
      <fill>
        <patternFill patternType="solid">
          <f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 Revenue</a:t>
            </a:r>
            <a:r>
              <a:rPr lang="en-US" b="1" baseline="0">
                <a:solidFill>
                  <a:schemeClr val="tx1"/>
                </a:solidFill>
              </a:rPr>
              <a:t> Distribution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608773814194531"/>
          <c:y val="7.44783358715814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664281654656945"/>
          <c:y val="0.37219200532671459"/>
          <c:w val="0.8335718345343055"/>
          <c:h val="0.317583255855078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'01_Historical_IS'!$B$25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'01_Historical_IS'!$A$26:$A$32</c:f>
              <c:strCache>
                <c:ptCount val="7"/>
                <c:pt idx="0">
                  <c:v>Data Center</c:v>
                </c:pt>
                <c:pt idx="1">
                  <c:v>Compute</c:v>
                </c:pt>
                <c:pt idx="2">
                  <c:v>Networking</c:v>
                </c:pt>
                <c:pt idx="3">
                  <c:v>Gaming</c:v>
                </c:pt>
                <c:pt idx="4">
                  <c:v>Professional Visualization</c:v>
                </c:pt>
                <c:pt idx="5">
                  <c:v>Automotive</c:v>
                </c:pt>
                <c:pt idx="6">
                  <c:v>OEM and Other</c:v>
                </c:pt>
              </c:strCache>
            </c:strRef>
          </c:cat>
          <c:val>
            <c:numRef>
              <c:f>'01_Historical_IS'!$B$26:$B$32</c:f>
              <c:numCache>
                <c:formatCode>_(* #,##0_);_(* \(#,##0\);_(* "-"??_);_(@_)</c:formatCode>
                <c:ptCount val="7"/>
                <c:pt idx="0">
                  <c:v>115186</c:v>
                </c:pt>
                <c:pt idx="1">
                  <c:v>102196</c:v>
                </c:pt>
                <c:pt idx="2">
                  <c:v>12990</c:v>
                </c:pt>
                <c:pt idx="3">
                  <c:v>11350</c:v>
                </c:pt>
                <c:pt idx="4">
                  <c:v>1878</c:v>
                </c:pt>
                <c:pt idx="5">
                  <c:v>1694</c:v>
                </c:pt>
                <c:pt idx="6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5-4B3F-A4FF-804CEDD4FEF8}"/>
            </c:ext>
          </c:extLst>
        </c:ser>
        <c:ser>
          <c:idx val="1"/>
          <c:order val="1"/>
          <c:tx>
            <c:strRef>
              <c:f>'01_Historical_IS'!$C$25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'01_Historical_IS'!$A$26:$A$32</c:f>
              <c:strCache>
                <c:ptCount val="7"/>
                <c:pt idx="0">
                  <c:v>Data Center</c:v>
                </c:pt>
                <c:pt idx="1">
                  <c:v>Compute</c:v>
                </c:pt>
                <c:pt idx="2">
                  <c:v>Networking</c:v>
                </c:pt>
                <c:pt idx="3">
                  <c:v>Gaming</c:v>
                </c:pt>
                <c:pt idx="4">
                  <c:v>Professional Visualization</c:v>
                </c:pt>
                <c:pt idx="5">
                  <c:v>Automotive</c:v>
                </c:pt>
                <c:pt idx="6">
                  <c:v>OEM and Other</c:v>
                </c:pt>
              </c:strCache>
            </c:strRef>
          </c:cat>
          <c:val>
            <c:numRef>
              <c:f>'01_Historical_IS'!$C$26:$C$32</c:f>
              <c:numCache>
                <c:formatCode>_(* #,##0_);_(* \(#,##0\);_(* "-"??_);_(@_)</c:formatCode>
                <c:ptCount val="7"/>
                <c:pt idx="0">
                  <c:v>47525</c:v>
                </c:pt>
                <c:pt idx="1">
                  <c:v>38950</c:v>
                </c:pt>
                <c:pt idx="2">
                  <c:v>8575</c:v>
                </c:pt>
                <c:pt idx="3">
                  <c:v>10447</c:v>
                </c:pt>
                <c:pt idx="4">
                  <c:v>1553</c:v>
                </c:pt>
                <c:pt idx="5">
                  <c:v>1091</c:v>
                </c:pt>
                <c:pt idx="6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5-4B3F-A4FF-804CEDD4FEF8}"/>
            </c:ext>
          </c:extLst>
        </c:ser>
        <c:ser>
          <c:idx val="2"/>
          <c:order val="2"/>
          <c:tx>
            <c:strRef>
              <c:f>'01_Historical_IS'!$D$25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'01_Historical_IS'!$A$26:$A$32</c:f>
              <c:strCache>
                <c:ptCount val="7"/>
                <c:pt idx="0">
                  <c:v>Data Center</c:v>
                </c:pt>
                <c:pt idx="1">
                  <c:v>Compute</c:v>
                </c:pt>
                <c:pt idx="2">
                  <c:v>Networking</c:v>
                </c:pt>
                <c:pt idx="3">
                  <c:v>Gaming</c:v>
                </c:pt>
                <c:pt idx="4">
                  <c:v>Professional Visualization</c:v>
                </c:pt>
                <c:pt idx="5">
                  <c:v>Automotive</c:v>
                </c:pt>
                <c:pt idx="6">
                  <c:v>OEM and Other</c:v>
                </c:pt>
              </c:strCache>
            </c:strRef>
          </c:cat>
          <c:val>
            <c:numRef>
              <c:f>'01_Historical_IS'!$D$26:$D$32</c:f>
              <c:numCache>
                <c:formatCode>_(* #,##0_);_(* \(#,##0\);_(* "-"??_);_(@_)</c:formatCode>
                <c:ptCount val="7"/>
                <c:pt idx="0">
                  <c:v>15005</c:v>
                </c:pt>
                <c:pt idx="1">
                  <c:v>11317</c:v>
                </c:pt>
                <c:pt idx="2">
                  <c:v>3688</c:v>
                </c:pt>
                <c:pt idx="3">
                  <c:v>9067</c:v>
                </c:pt>
                <c:pt idx="4">
                  <c:v>1544</c:v>
                </c:pt>
                <c:pt idx="5">
                  <c:v>903</c:v>
                </c:pt>
                <c:pt idx="6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5-4B3F-A4FF-804CEDD4F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97664"/>
        <c:axId val="138308480"/>
      </c:barChart>
      <c:catAx>
        <c:axId val="1363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8480"/>
        <c:crosses val="autoZero"/>
        <c:auto val="1"/>
        <c:lblAlgn val="ctr"/>
        <c:lblOffset val="100"/>
        <c:noMultiLvlLbl val="0"/>
      </c:catAx>
      <c:valAx>
        <c:axId val="13830848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76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chemeClr val="tx1"/>
                </a:solidFill>
              </a:rPr>
              <a:t>Revenue 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'01_Historical_IS'!$B$36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'01_Historical_IS'!$A$37:$A$41</c:f>
              <c:strCache>
                <c:ptCount val="5"/>
                <c:pt idx="0">
                  <c:v>United States</c:v>
                </c:pt>
                <c:pt idx="1">
                  <c:v>Singapore </c:v>
                </c:pt>
                <c:pt idx="2">
                  <c:v>Taiwan</c:v>
                </c:pt>
                <c:pt idx="3">
                  <c:v>China (including Hong Kong)</c:v>
                </c:pt>
                <c:pt idx="4">
                  <c:v>Other</c:v>
                </c:pt>
              </c:strCache>
            </c:strRef>
          </c:cat>
          <c:val>
            <c:numRef>
              <c:f>'01_Historical_IS'!$B$37:$B$41</c:f>
              <c:numCache>
                <c:formatCode>_(* #,##0_);_(* \(#,##0\);_(* "-"??_);_(@_)</c:formatCode>
                <c:ptCount val="5"/>
                <c:pt idx="0">
                  <c:v>61257</c:v>
                </c:pt>
                <c:pt idx="1">
                  <c:v>23684</c:v>
                </c:pt>
                <c:pt idx="2">
                  <c:v>20573</c:v>
                </c:pt>
                <c:pt idx="3">
                  <c:v>17108</c:v>
                </c:pt>
                <c:pt idx="4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8-4D4D-A9D2-FC011EB4ED10}"/>
            </c:ext>
          </c:extLst>
        </c:ser>
        <c:ser>
          <c:idx val="1"/>
          <c:order val="1"/>
          <c:tx>
            <c:strRef>
              <c:f>'01_Historical_IS'!$C$36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'01_Historical_IS'!$A$37:$A$41</c:f>
              <c:strCache>
                <c:ptCount val="5"/>
                <c:pt idx="0">
                  <c:v>United States</c:v>
                </c:pt>
                <c:pt idx="1">
                  <c:v>Singapore </c:v>
                </c:pt>
                <c:pt idx="2">
                  <c:v>Taiwan</c:v>
                </c:pt>
                <c:pt idx="3">
                  <c:v>China (including Hong Kong)</c:v>
                </c:pt>
                <c:pt idx="4">
                  <c:v>Other</c:v>
                </c:pt>
              </c:strCache>
            </c:strRef>
          </c:cat>
          <c:val>
            <c:numRef>
              <c:f>'01_Historical_IS'!$C$37:$C$41</c:f>
              <c:numCache>
                <c:formatCode>_(* #,##0_);_(* \(#,##0\);_(* "-"??_);_(@_)</c:formatCode>
                <c:ptCount val="5"/>
                <c:pt idx="0">
                  <c:v>26966</c:v>
                </c:pt>
                <c:pt idx="1">
                  <c:v>6831</c:v>
                </c:pt>
                <c:pt idx="2">
                  <c:v>13405</c:v>
                </c:pt>
                <c:pt idx="3">
                  <c:v>10306</c:v>
                </c:pt>
                <c:pt idx="4">
                  <c:v>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8-4D4D-A9D2-FC011EB4ED10}"/>
            </c:ext>
          </c:extLst>
        </c:ser>
        <c:ser>
          <c:idx val="2"/>
          <c:order val="2"/>
          <c:tx>
            <c:strRef>
              <c:f>'01_Historical_IS'!$D$36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'01_Historical_IS'!$A$37:$A$41</c:f>
              <c:strCache>
                <c:ptCount val="5"/>
                <c:pt idx="0">
                  <c:v>United States</c:v>
                </c:pt>
                <c:pt idx="1">
                  <c:v>Singapore </c:v>
                </c:pt>
                <c:pt idx="2">
                  <c:v>Taiwan</c:v>
                </c:pt>
                <c:pt idx="3">
                  <c:v>China (including Hong Kong)</c:v>
                </c:pt>
                <c:pt idx="4">
                  <c:v>Other</c:v>
                </c:pt>
              </c:strCache>
            </c:strRef>
          </c:cat>
          <c:val>
            <c:numRef>
              <c:f>'01_Historical_IS'!$D$37:$D$41</c:f>
              <c:numCache>
                <c:formatCode>_(* #,##0_);_(* \(#,##0\);_(* "-"??_);_(@_)</c:formatCode>
                <c:ptCount val="5"/>
                <c:pt idx="0">
                  <c:v>8292</c:v>
                </c:pt>
                <c:pt idx="1">
                  <c:v>2288</c:v>
                </c:pt>
                <c:pt idx="2">
                  <c:v>6986</c:v>
                </c:pt>
                <c:pt idx="3">
                  <c:v>5785</c:v>
                </c:pt>
                <c:pt idx="4">
                  <c:v>3623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8-4D4D-A9D2-FC011EB4E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7669296"/>
        <c:axId val="567664016"/>
      </c:barChart>
      <c:catAx>
        <c:axId val="5676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64016"/>
        <c:crosses val="autoZero"/>
        <c:auto val="1"/>
        <c:lblAlgn val="ctr"/>
        <c:lblOffset val="100"/>
        <c:noMultiLvlLbl val="0"/>
      </c:catAx>
      <c:valAx>
        <c:axId val="56766401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692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layout>
        <c:manualLayout>
          <c:xMode val="edge"/>
          <c:yMode val="edge"/>
          <c:x val="0.39962744800522743"/>
          <c:y val="6.001342297898869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91089238845144"/>
          <c:y val="0.1963406888953696"/>
          <c:w val="0.8523079615048119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'01_Historical_IS'!$A$3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'01_Historical_IS'!$B$2:$D$2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'01_Historical_IS'!$B$3:$D$3</c:f>
              <c:numCache>
                <c:formatCode>_(* #,##0_);_(* \(#,##0\);_(* "-"??_);_(@_)</c:formatCode>
                <c:ptCount val="3"/>
                <c:pt idx="0">
                  <c:v>10918</c:v>
                </c:pt>
                <c:pt idx="1">
                  <c:v>16675</c:v>
                </c:pt>
                <c:pt idx="2">
                  <c:v>26914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3-4F2B-A1B4-A0DC5E9B95D2}"/>
            </c:ext>
          </c:extLst>
        </c:ser>
        <c:ser>
          <c:idx val="1"/>
          <c:order val="1"/>
          <c:tx>
            <c:strRef>
              <c:f>'01_Historical_IS'!$A$4</c:f>
              <c:strCache>
                <c:ptCount val="1"/>
                <c:pt idx="0">
                  <c:v>Cost of revenue( COGS)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'01_Historical_IS'!$B$2:$D$2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'01_Historical_IS'!$B$4:$D$4</c:f>
              <c:numCache>
                <c:formatCode>_(* #,##0_);_(* \(#,##0\);_(* "-"??_);_(@_)</c:formatCode>
                <c:ptCount val="3"/>
                <c:pt idx="0">
                  <c:v>4150</c:v>
                </c:pt>
                <c:pt idx="1">
                  <c:v>6279</c:v>
                </c:pt>
                <c:pt idx="2">
                  <c:v>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3-4F2B-A1B4-A0DC5E9B95D2}"/>
            </c:ext>
          </c:extLst>
        </c:ser>
        <c:ser>
          <c:idx val="2"/>
          <c:order val="2"/>
          <c:tx>
            <c:strRef>
              <c:f>'01_Historical_IS'!$A$11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'01_Historical_IS'!$B$2:$D$2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'01_Historical_IS'!$B$11:$D$11</c:f>
              <c:numCache>
                <c:formatCode>_(* #,##0_);_(* \(#,##0\);_(* "-"??_);_(@_)</c:formatCode>
                <c:ptCount val="3"/>
                <c:pt idx="0">
                  <c:v>3922</c:v>
                </c:pt>
                <c:pt idx="1">
                  <c:v>5864</c:v>
                </c:pt>
                <c:pt idx="2">
                  <c:v>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3-4F2B-A1B4-A0DC5E9B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406831"/>
        <c:axId val="1750060431"/>
      </c:lineChart>
      <c:catAx>
        <c:axId val="9854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60431"/>
        <c:crosses val="autoZero"/>
        <c:auto val="1"/>
        <c:lblAlgn val="ctr"/>
        <c:lblOffset val="100"/>
        <c:noMultiLvlLbl val="0"/>
      </c:catAx>
      <c:valAx>
        <c:axId val="17500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68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Common-size</a:t>
            </a:r>
            <a:r>
              <a:rPr lang="en-US" b="1" baseline="0">
                <a:solidFill>
                  <a:schemeClr val="tx1"/>
                </a:solidFill>
              </a:rPr>
              <a:t> Income statement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74205772822087"/>
          <c:y val="0.16708351096756291"/>
          <c:w val="0.8647939632545931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'01_Historical_IS'!$J$13</c:f>
              <c:strCache>
                <c:ptCount val="1"/>
                <c:pt idx="0">
                  <c:v>EBIT (Operating income)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'01_Historical_IS'!$K$13:$P$13</c:f>
              <c:numCache>
                <c:formatCode>0.0%</c:formatCode>
                <c:ptCount val="6"/>
                <c:pt idx="0">
                  <c:v>0.2606704524638212</c:v>
                </c:pt>
                <c:pt idx="1">
                  <c:v>0.27178410794602698</c:v>
                </c:pt>
                <c:pt idx="2">
                  <c:v>0.37307720888756779</c:v>
                </c:pt>
                <c:pt idx="3">
                  <c:v>0.1565952398606065</c:v>
                </c:pt>
                <c:pt idx="4">
                  <c:v>0.54121663766783756</c:v>
                </c:pt>
                <c:pt idx="5">
                  <c:v>0.62417526839697468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3-44AC-886E-8A7D6BDB13F5}"/>
            </c:ext>
          </c:extLst>
        </c:ser>
        <c:ser>
          <c:idx val="1"/>
          <c:order val="1"/>
          <c:tx>
            <c:strRef>
              <c:f>'01_Historical_IS'!$J$15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'01_Historical_IS'!$K$15:$P$15</c:f>
              <c:numCache>
                <c:formatCode>0.0%</c:formatCode>
                <c:ptCount val="6"/>
                <c:pt idx="0">
                  <c:v>0.29556695365451546</c:v>
                </c:pt>
                <c:pt idx="1">
                  <c:v>0.3376311844077961</c:v>
                </c:pt>
                <c:pt idx="2">
                  <c:v>0.41669762948651262</c:v>
                </c:pt>
                <c:pt idx="3">
                  <c:v>0.21383554533995699</c:v>
                </c:pt>
                <c:pt idx="4">
                  <c:v>0.56596960047273559</c:v>
                </c:pt>
                <c:pt idx="5">
                  <c:v>0.63845912166563212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3-44AC-886E-8A7D6BDB13F5}"/>
            </c:ext>
          </c:extLst>
        </c:ser>
        <c:ser>
          <c:idx val="2"/>
          <c:order val="2"/>
          <c:tx>
            <c:strRef>
              <c:f>'01_Historical_IS'!$J$20</c:f>
              <c:strCache>
                <c:ptCount val="1"/>
                <c:pt idx="0">
                  <c:v>EBT (Income before income tax 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'01_Historical_IS'!$K$20:$P$20</c:f>
              <c:numCache>
                <c:formatCode>0.0%</c:formatCode>
                <c:ptCount val="6"/>
                <c:pt idx="0">
                  <c:v>0.27202784392745927</c:v>
                </c:pt>
                <c:pt idx="1">
                  <c:v>0.26440779610194903</c:v>
                </c:pt>
                <c:pt idx="2">
                  <c:v>0.36936167050605634</c:v>
                </c:pt>
                <c:pt idx="3">
                  <c:v>0.15500111218210127</c:v>
                </c:pt>
                <c:pt idx="4">
                  <c:v>0.55510324677456424</c:v>
                </c:pt>
                <c:pt idx="5">
                  <c:v>0.64389219675548093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3-44AC-886E-8A7D6BDB13F5}"/>
            </c:ext>
          </c:extLst>
        </c:ser>
        <c:ser>
          <c:idx val="3"/>
          <c:order val="3"/>
          <c:tx>
            <c:strRef>
              <c:f>'01_Historical_IS'!$J$22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'01_Historical_IS'!$K$22:$P$22</c:f>
              <c:numCache>
                <c:formatCode>0.0%</c:formatCode>
                <c:ptCount val="6"/>
                <c:pt idx="0">
                  <c:v>0.25609085913170909</c:v>
                </c:pt>
                <c:pt idx="1">
                  <c:v>0.25979010494752625</c:v>
                </c:pt>
                <c:pt idx="2">
                  <c:v>0.36233930296499961</c:v>
                </c:pt>
                <c:pt idx="3">
                  <c:v>0.16193371394676356</c:v>
                </c:pt>
                <c:pt idx="4">
                  <c:v>0.4884934834706674</c:v>
                </c:pt>
                <c:pt idx="5">
                  <c:v>0.55848027157712443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3-44AC-886E-8A7D6BDB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258735"/>
        <c:axId val="1210261135"/>
      </c:barChart>
      <c:catAx>
        <c:axId val="121025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61135"/>
        <c:crosses val="autoZero"/>
        <c:auto val="1"/>
        <c:lblAlgn val="ctr"/>
        <c:lblOffset val="100"/>
        <c:noMultiLvlLbl val="0"/>
      </c:catAx>
      <c:valAx>
        <c:axId val="12102611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587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Operating</a:t>
            </a:r>
            <a:r>
              <a:rPr lang="en-US" b="1" baseline="0">
                <a:solidFill>
                  <a:schemeClr val="tx1"/>
                </a:solidFill>
              </a:rPr>
              <a:t> efficiency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4257217847769"/>
          <c:y val="0.2128014727325751"/>
          <c:w val="0.8647939632545931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'01_Historical_IS'!$J$12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'01_Historical_IS'!$K$12:$P$12</c:f>
              <c:numCache>
                <c:formatCode>0.0%</c:formatCode>
                <c:ptCount val="6"/>
                <c:pt idx="0">
                  <c:v>0.35922330097087379</c:v>
                </c:pt>
                <c:pt idx="1">
                  <c:v>0.35166416791604199</c:v>
                </c:pt>
                <c:pt idx="2">
                  <c:v>0.2762131232815635</c:v>
                </c:pt>
                <c:pt idx="3">
                  <c:v>0.41269370504930675</c:v>
                </c:pt>
                <c:pt idx="4">
                  <c:v>0.18595909523653195</c:v>
                </c:pt>
                <c:pt idx="5">
                  <c:v>0.12571170218472455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5-4CDB-996D-573C4E202365}"/>
            </c:ext>
          </c:extLst>
        </c:ser>
        <c:ser>
          <c:idx val="1"/>
          <c:order val="1"/>
          <c:tx>
            <c:strRef>
              <c:f>'01_Historical_IS'!$J$13</c:f>
              <c:strCache>
                <c:ptCount val="1"/>
                <c:pt idx="0">
                  <c:v>EBIT (Operating income)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'01_Historical_IS'!$K$3:$P$3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'01_Historical_IS'!$K$13:$P$13</c:f>
              <c:numCache>
                <c:formatCode>0.0%</c:formatCode>
                <c:ptCount val="6"/>
                <c:pt idx="0">
                  <c:v>0.2606704524638212</c:v>
                </c:pt>
                <c:pt idx="1">
                  <c:v>0.27178410794602698</c:v>
                </c:pt>
                <c:pt idx="2">
                  <c:v>0.37307720888756779</c:v>
                </c:pt>
                <c:pt idx="3">
                  <c:v>0.1565952398606065</c:v>
                </c:pt>
                <c:pt idx="4">
                  <c:v>0.54121663766783756</c:v>
                </c:pt>
                <c:pt idx="5">
                  <c:v>0.62417526839697468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5-4CDB-996D-573C4E20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264495"/>
        <c:axId val="1210268335"/>
      </c:barChart>
      <c:catAx>
        <c:axId val="121026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68335"/>
        <c:crosses val="autoZero"/>
        <c:auto val="1"/>
        <c:lblAlgn val="ctr"/>
        <c:lblOffset val="100"/>
        <c:noMultiLvlLbl val="0"/>
      </c:catAx>
      <c:valAx>
        <c:axId val="1210268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6449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0924103237095363E-2"/>
          <c:y val="0.90507691746864971"/>
          <c:w val="0.89672844306401678"/>
          <c:h val="9.492313464713712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1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124433504731711"/>
          <c:y val="0.20280155642023351"/>
          <c:w val="0.84147797810052793"/>
          <c:h val="0.49045211760981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'03_Historical_CF'!$A$56</c:f>
              <c:strCache>
                <c:ptCount val="1"/>
                <c:pt idx="0">
                  <c:v>Net cash provided by operating activities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'03_Historical_CF'!$B$55:$C$55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'03_Historical_CF'!$B$56:$C$56</c:f>
              <c:numCache>
                <c:formatCode>_(* #,##0_);_(* \(#,##0\);_(* "-"??_);_(@_)</c:formatCode>
                <c:ptCount val="2"/>
                <c:pt idx="0">
                  <c:v>5641</c:v>
                </c:pt>
                <c:pt idx="1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4-4748-BCAD-F695676109CB}"/>
            </c:ext>
          </c:extLst>
        </c:ser>
        <c:ser>
          <c:idx val="1"/>
          <c:order val="1"/>
          <c:tx>
            <c:strRef>
              <c:f>'03_Historical_CF'!$A$57</c:f>
              <c:strCache>
                <c:ptCount val="1"/>
                <c:pt idx="0">
                  <c:v>Net cash provided by (used in) investing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'03_Historical_CF'!$B$55:$C$55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'03_Historical_CF'!$B$57:$C$57</c:f>
              <c:numCache>
                <c:formatCode>_(* #,##0_);_(* \(#,##0\);_(* "-"??_);_(@_)</c:formatCode>
                <c:ptCount val="2"/>
                <c:pt idx="0">
                  <c:v>7375</c:v>
                </c:pt>
                <c:pt idx="1">
                  <c:v>-10566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4-4748-BCAD-F695676109CB}"/>
            </c:ext>
          </c:extLst>
        </c:ser>
        <c:ser>
          <c:idx val="2"/>
          <c:order val="2"/>
          <c:tx>
            <c:strRef>
              <c:f>'03_Historical_CF'!$A$58</c:f>
              <c:strCache>
                <c:ptCount val="1"/>
                <c:pt idx="0">
                  <c:v>Net cash used in financing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'03_Historical_CF'!$B$55:$C$55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'03_Historical_CF'!$B$58:$C$58</c:f>
              <c:numCache>
                <c:formatCode>_(* #,##0_);_(* \(#,##0\);_(* "-"??_);_(@_)</c:formatCode>
                <c:ptCount val="2"/>
                <c:pt idx="0">
                  <c:v>-11617</c:v>
                </c:pt>
                <c:pt idx="1">
                  <c:v>-13633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4-4748-BCAD-F6956761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572256"/>
        <c:axId val="333561696"/>
      </c:barChart>
      <c:catAx>
        <c:axId val="3335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61696"/>
        <c:crosses val="autoZero"/>
        <c:auto val="1"/>
        <c:lblAlgn val="ctr"/>
        <c:lblOffset val="100"/>
        <c:noMultiLvlLbl val="0"/>
      </c:catAx>
      <c:valAx>
        <c:axId val="3335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72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layout>
        <c:manualLayout>
          <c:xMode val="edge"/>
          <c:yMode val="edge"/>
          <c:x val="0.37923250564334088"/>
          <c:y val="2.583979328165374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06701978405728"/>
          <c:y val="0.29940980906798409"/>
          <c:w val="0.81913403601073564"/>
          <c:h val="0.4632856212740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'03_Historical_CF'!$A$59</c:f>
              <c:strCache>
                <c:ptCount val="1"/>
                <c:pt idx="0">
                  <c:v>Increase in cash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'03_Historical_CF'!$B$55:$C$55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'03_Historical_CF'!$B$59:$C$59</c:f>
              <c:numCache>
                <c:formatCode>#,##0_);\(#,##0\)</c:formatCode>
                <c:ptCount val="2"/>
                <c:pt idx="0">
                  <c:v>1399</c:v>
                </c:pt>
                <c:pt idx="1">
                  <c:v>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8-46B3-AB70-E993053E9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455888"/>
        <c:axId val="1934456368"/>
      </c:barChart>
      <c:catAx>
        <c:axId val="19344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56368"/>
        <c:crosses val="autoZero"/>
        <c:auto val="1"/>
        <c:lblAlgn val="ctr"/>
        <c:lblOffset val="100"/>
        <c:noMultiLvlLbl val="0"/>
      </c:catAx>
      <c:valAx>
        <c:axId val="19344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5588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313723841999927"/>
          <c:y val="4.4783415974811849E-2"/>
          <c:w val="0.83661329833770781"/>
          <c:h val="0.58683508311461063"/>
        </c:manualLayout>
      </c:layout>
      <c:lineChart>
        <c:grouping val="standard"/>
        <c:varyColors val="0"/>
        <c:ser>
          <c:idx val="0"/>
          <c:order val="0"/>
          <c:tx>
            <c:strRef>
              <c:f>'04a_Projection_IS'!$A$5</c:f>
              <c:strCache>
                <c:ptCount val="1"/>
                <c:pt idx="0">
                  <c:v>Data Center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'04a_Projection_IS'!$B$3:$F$3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'04a_Projection_IS'!$B$5:$F$5</c:f>
              <c:numCache>
                <c:formatCode>_(* #,##0_);_(* \(#,##0\);_(* "-"??_);_(@_)</c:formatCode>
                <c:ptCount val="5"/>
                <c:pt idx="0">
                  <c:v>6696</c:v>
                </c:pt>
                <c:pt idx="1">
                  <c:v>10613</c:v>
                </c:pt>
                <c:pt idx="2">
                  <c:v>15005</c:v>
                </c:pt>
                <c:pt idx="3">
                  <c:v>47525</c:v>
                </c:pt>
                <c:pt idx="4">
                  <c:v>115186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C-4CBA-8274-53645C8927D2}"/>
            </c:ext>
          </c:extLst>
        </c:ser>
        <c:ser>
          <c:idx val="1"/>
          <c:order val="1"/>
          <c:tx>
            <c:strRef>
              <c:f>'04a_Projection_IS'!$A$11</c:f>
              <c:strCache>
                <c:ptCount val="1"/>
                <c:pt idx="0">
                  <c:v>Gaming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'04a_Projection_IS'!$B$3:$F$3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'04a_Projection_IS'!$B$11:$F$11</c:f>
              <c:numCache>
                <c:formatCode>_(* #,##0_);_(* \(#,##0\);_(* "-"??_);_(@_)</c:formatCode>
                <c:ptCount val="5"/>
                <c:pt idx="0">
                  <c:v>7759</c:v>
                </c:pt>
                <c:pt idx="1">
                  <c:v>12462</c:v>
                </c:pt>
                <c:pt idx="2">
                  <c:v>9067</c:v>
                </c:pt>
                <c:pt idx="3">
                  <c:v>10447</c:v>
                </c:pt>
                <c:pt idx="4">
                  <c:v>11350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C-4CBA-8274-53645C8927D2}"/>
            </c:ext>
          </c:extLst>
        </c:ser>
        <c:ser>
          <c:idx val="2"/>
          <c:order val="2"/>
          <c:tx>
            <c:strRef>
              <c:f>'04a_Projection_IS'!$A$17</c:f>
              <c:strCache>
                <c:ptCount val="1"/>
                <c:pt idx="0">
                  <c:v>Professional Visualization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'04a_Projection_IS'!$B$3:$F$3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'04a_Projection_IS'!$B$17:$F$17</c:f>
              <c:numCache>
                <c:formatCode>_(* #,##0_);_(* \(#,##0\);_(* "-"??_);_(@_)</c:formatCode>
                <c:ptCount val="5"/>
                <c:pt idx="0">
                  <c:v>1053</c:v>
                </c:pt>
                <c:pt idx="1">
                  <c:v>2111</c:v>
                </c:pt>
                <c:pt idx="2">
                  <c:v>1544</c:v>
                </c:pt>
                <c:pt idx="3">
                  <c:v>1553</c:v>
                </c:pt>
                <c:pt idx="4">
                  <c:v>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C-4CBA-8274-53645C8927D2}"/>
            </c:ext>
          </c:extLst>
        </c:ser>
        <c:ser>
          <c:idx val="3"/>
          <c:order val="3"/>
          <c:tx>
            <c:strRef>
              <c:f>'04a_Projection_IS'!$A$23</c:f>
              <c:strCache>
                <c:ptCount val="1"/>
                <c:pt idx="0">
                  <c:v>Automotive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'04a_Projection_IS'!$B$3:$F$3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'04a_Projection_IS'!$B$23:$F$23</c:f>
              <c:numCache>
                <c:formatCode>_(* #,##0_);_(* \(#,##0\);_(* "-"??_);_(@_)</c:formatCode>
                <c:ptCount val="5"/>
                <c:pt idx="0">
                  <c:v>536</c:v>
                </c:pt>
                <c:pt idx="1">
                  <c:v>566</c:v>
                </c:pt>
                <c:pt idx="2">
                  <c:v>903</c:v>
                </c:pt>
                <c:pt idx="3">
                  <c:v>1091</c:v>
                </c:pt>
                <c:pt idx="4">
                  <c:v>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EC-4CBA-8274-53645C8927D2}"/>
            </c:ext>
          </c:extLst>
        </c:ser>
        <c:ser>
          <c:idx val="4"/>
          <c:order val="4"/>
          <c:tx>
            <c:strRef>
              <c:f>'04a_Projection_IS'!$A$29</c:f>
              <c:strCache>
                <c:ptCount val="1"/>
                <c:pt idx="0">
                  <c:v>OEM and Other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'04a_Projection_IS'!$B$3:$F$3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'04a_Projection_IS'!$B$29:$F$29</c:f>
              <c:numCache>
                <c:formatCode>_(* #,##0_);_(* \(#,##0\);_(* "-"??_);_(@_)</c:formatCode>
                <c:ptCount val="5"/>
                <c:pt idx="0">
                  <c:v>631</c:v>
                </c:pt>
                <c:pt idx="1">
                  <c:v>1162</c:v>
                </c:pt>
                <c:pt idx="2">
                  <c:v>455</c:v>
                </c:pt>
                <c:pt idx="3">
                  <c:v>306</c:v>
                </c:pt>
                <c:pt idx="4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C-4CBA-8274-53645C892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345376"/>
        <c:axId val="1641345856"/>
      </c:lineChart>
      <c:catAx>
        <c:axId val="16413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45856"/>
        <c:crosses val="autoZero"/>
        <c:auto val="1"/>
        <c:lblAlgn val="ctr"/>
        <c:lblOffset val="100"/>
        <c:noMultiLvlLbl val="0"/>
      </c:catAx>
      <c:valAx>
        <c:axId val="164134585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4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IN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'04a_Projection_IS'!$A$81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'04a_Projection_IS'!$B$81:$G$81</c:f>
              <c:numCache>
                <c:formatCode>_(* #,##0_);_(* \(#,##0\);_(* "-"??_);_(@_)</c:formatCode>
                <c:ptCount val="6"/>
                <c:pt idx="0">
                  <c:v>10918</c:v>
                </c:pt>
                <c:pt idx="1">
                  <c:v>16675</c:v>
                </c:pt>
                <c:pt idx="2">
                  <c:v>26914</c:v>
                </c:pt>
                <c:pt idx="3">
                  <c:v>26974</c:v>
                </c:pt>
                <c:pt idx="4" formatCode="#,##0">
                  <c:v>60922</c:v>
                </c:pt>
                <c:pt idx="5">
                  <c:v>130497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8-434D-A3B7-DF9232B94AE4}"/>
            </c:ext>
          </c:extLst>
        </c:ser>
        <c:ser>
          <c:idx val="1"/>
          <c:order val="1"/>
          <c:tx>
            <c:strRef>
              <c:f>'04a_Projection_IS'!$A$97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'04a_Projection_IS'!$B$97:$G$97</c:f>
              <c:numCache>
                <c:formatCode>_(* #,##0_);_(* \(#,##0\);_(* "-"??_);_(@_)</c:formatCode>
                <c:ptCount val="6"/>
                <c:pt idx="0">
                  <c:v>2796</c:v>
                </c:pt>
                <c:pt idx="1">
                  <c:v>4332</c:v>
                </c:pt>
                <c:pt idx="2">
                  <c:v>9752</c:v>
                </c:pt>
                <c:pt idx="3">
                  <c:v>4368</c:v>
                </c:pt>
                <c:pt idx="4">
                  <c:v>29760</c:v>
                </c:pt>
                <c:pt idx="5">
                  <c:v>72880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8-434D-A3B7-DF9232B94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257136"/>
        <c:axId val="1076249456"/>
      </c:barChart>
      <c:catAx>
        <c:axId val="10762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49456"/>
        <c:crosses val="autoZero"/>
        <c:auto val="1"/>
        <c:lblAlgn val="ctr"/>
        <c:lblOffset val="100"/>
        <c:noMultiLvlLbl val="0"/>
      </c:catAx>
      <c:valAx>
        <c:axId val="10762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571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>
                    <a:lumMod val="50000"/>
                  </a:schemeClr>
                </a:solidFill>
              </a:rPr>
              <a:t>NVIDIA</a:t>
            </a: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 Football field analysis - valuation summary</a:t>
            </a:r>
          </a:p>
        </c:rich>
      </c:tx>
      <c:layout>
        <c:manualLayout>
          <c:xMode val="edge"/>
          <c:yMode val="edge"/>
          <c:x val="0.1492290026246719"/>
          <c:y val="2.77777777777777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5979440069991234E-2"/>
          <c:y val="0.15626166520851559"/>
          <c:w val="0.87346500437445318"/>
          <c:h val="0.72352981918926795"/>
        </c:manualLayout>
      </c:layout>
      <c:stockChart>
        <c:ser>
          <c:idx val="0"/>
          <c:order val="0"/>
          <c:tx>
            <c:strRef>
              <c:f>'06_Sensitivity'!$K$11</c:f>
              <c:strCache>
                <c:ptCount val="1"/>
                <c:pt idx="0">
                  <c:v>DCF Bear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none"/>
          </c:marker>
          <c:cat>
            <c:strRef>
              <c:f>'06_Sensitivity'!$K$11:$K$15</c:f>
              <c:strCache>
                <c:ptCount val="4"/>
                <c:pt idx="0">
                  <c:v>DCF Bear</c:v>
                </c:pt>
                <c:pt idx="1">
                  <c:v>DCF Base</c:v>
                </c:pt>
                <c:pt idx="2">
                  <c:v>DCF Bull</c:v>
                </c:pt>
                <c:pt idx="3">
                  <c:v>Comps</c:v>
                </c:pt>
              </c:strCache>
            </c:strRef>
          </c:cat>
          <c:val>
            <c:numRef>
              <c:f>'06_Sensitivity'!$M$11:$M$15</c:f>
              <c:numCache>
                <c:formatCode>_(* #,##0_);_(* \(#,##0\);_(* "-"??_);_(@_)</c:formatCode>
                <c:ptCount val="5"/>
                <c:pt idx="0">
                  <c:v>77.152824704138254</c:v>
                </c:pt>
                <c:pt idx="1">
                  <c:v>87.477363573261599</c:v>
                </c:pt>
                <c:pt idx="2">
                  <c:v>102.43693672706432</c:v>
                </c:pt>
                <c:pt idx="3">
                  <c:v>133.96459812903632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B-4517-B25B-18B12B8354A5}"/>
            </c:ext>
          </c:extLst>
        </c:ser>
        <c:ser>
          <c:idx val="1"/>
          <c:order val="1"/>
          <c:tx>
            <c:strRef>
              <c:f>'06_Sensitivity'!$K$12</c:f>
              <c:strCache>
                <c:ptCount val="1"/>
                <c:pt idx="0">
                  <c:v>DCF Base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'06_Sensitivity'!$K$11:$K$15</c:f>
              <c:strCache>
                <c:ptCount val="4"/>
                <c:pt idx="0">
                  <c:v>DCF Bear</c:v>
                </c:pt>
                <c:pt idx="1">
                  <c:v>DCF Base</c:v>
                </c:pt>
                <c:pt idx="2">
                  <c:v>DCF Bull</c:v>
                </c:pt>
                <c:pt idx="3">
                  <c:v>Comps</c:v>
                </c:pt>
              </c:strCache>
            </c:strRef>
          </c:cat>
          <c:val>
            <c:numRef>
              <c:f>'06_Sensitivity'!$N$11:$N$15</c:f>
              <c:numCache>
                <c:formatCode>_(* #,##0_);_(* \(#,##0\);_(* "-"??_);_(@_)</c:formatCode>
                <c:ptCount val="5"/>
                <c:pt idx="0">
                  <c:v>77.152824704138254</c:v>
                </c:pt>
                <c:pt idx="1">
                  <c:v>87.477363573261599</c:v>
                </c:pt>
                <c:pt idx="2">
                  <c:v>102.43693672706432</c:v>
                </c:pt>
                <c:pt idx="3">
                  <c:v>133.96459812903632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B-4517-B25B-18B12B8354A5}"/>
            </c:ext>
          </c:extLst>
        </c:ser>
        <c:ser>
          <c:idx val="2"/>
          <c:order val="2"/>
          <c:tx>
            <c:strRef>
              <c:f>'06_Sensitivity'!$K$13</c:f>
              <c:strCache>
                <c:ptCount val="1"/>
                <c:pt idx="0">
                  <c:v>DCF Bull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none"/>
          </c:marker>
          <c:cat>
            <c:strRef>
              <c:f>'06_Sensitivity'!$K$11:$K$15</c:f>
              <c:strCache>
                <c:ptCount val="4"/>
                <c:pt idx="0">
                  <c:v>DCF Bear</c:v>
                </c:pt>
                <c:pt idx="1">
                  <c:v>DCF Base</c:v>
                </c:pt>
                <c:pt idx="2">
                  <c:v>DCF Bull</c:v>
                </c:pt>
                <c:pt idx="3">
                  <c:v>Comps</c:v>
                </c:pt>
              </c:strCache>
            </c:strRef>
          </c:cat>
          <c:val>
            <c:numRef>
              <c:f>'06_Sensitivity'!$O$11:$O$15</c:f>
              <c:numCache>
                <c:formatCode>_(* #,##0_);_(* \(#,##0\);_(* "-"??_);_(@_)</c:formatCode>
                <c:ptCount val="5"/>
                <c:pt idx="0">
                  <c:v>116.82761274712202</c:v>
                </c:pt>
                <c:pt idx="1">
                  <c:v>144.0429914854069</c:v>
                </c:pt>
                <c:pt idx="2">
                  <c:v>193.42975819785462</c:v>
                </c:pt>
                <c:pt idx="3">
                  <c:v>137.10837806405439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B-4517-B25B-18B12B8354A5}"/>
            </c:ext>
          </c:extLst>
        </c:ser>
        <c:ser>
          <c:idx val="3"/>
          <c:order val="3"/>
          <c:tx>
            <c:strRef>
              <c:f>'06_Sensitivity'!$K$14</c:f>
              <c:strCache>
                <c:ptCount val="1"/>
                <c:pt idx="0">
                  <c:v>Comps</c:v>
                </c:pt>
              </c:strCache>
            </c:strRef>
          </c:tx>
          <c:spPr>
            <a:ln w="38100" cap="rnd">
              <a:noFill/>
              <a:prstDash val="solid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'06_Sensitivity'!$K$11:$K$15</c:f>
              <c:strCache>
                <c:ptCount val="4"/>
                <c:pt idx="0">
                  <c:v>DCF Bear</c:v>
                </c:pt>
                <c:pt idx="1">
                  <c:v>DCF Base</c:v>
                </c:pt>
                <c:pt idx="2">
                  <c:v>DCF Bull</c:v>
                </c:pt>
                <c:pt idx="3">
                  <c:v>Comps</c:v>
                </c:pt>
              </c:strCache>
            </c:strRef>
          </c:cat>
          <c:val>
            <c:numRef>
              <c:f>'06_Sensitivity'!$P$11:$P$15</c:f>
              <c:numCache>
                <c:formatCode>_(* #,##0_);_(* \(#,##0\);_(* "-"??_);_(@_)</c:formatCode>
                <c:ptCount val="5"/>
                <c:pt idx="0">
                  <c:v>116.82761274712202</c:v>
                </c:pt>
                <c:pt idx="1">
                  <c:v>144.0429914854069</c:v>
                </c:pt>
                <c:pt idx="2">
                  <c:v>193.42975819785462</c:v>
                </c:pt>
                <c:pt idx="3">
                  <c:v>137.10837806405439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9B-4517-B25B-18B12B83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</a:ln>
          </c:spPr>
        </c:hiLowLines>
        <c:upDownBars>
          <c:gapWidth val="150"/>
          <c:upBars>
            <c:spPr>
              <a:solidFill>
                <a:schemeClr val="accent1">
                  <a:lumMod val="50000"/>
                </a:schemeClr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downBars>
        </c:upDownBars>
        <c:axId val="1146791663"/>
        <c:axId val="1146782063"/>
      </c:stockChart>
      <c:catAx>
        <c:axId val="11467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82063"/>
        <c:crosses val="autoZero"/>
        <c:auto val="1"/>
        <c:lblAlgn val="ctr"/>
        <c:lblOffset val="100"/>
        <c:noMultiLvlLbl val="0"/>
      </c:catAx>
      <c:valAx>
        <c:axId val="114678206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9166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Common</a:t>
            </a:r>
            <a:r>
              <a:rPr lang="en-US" b="1" baseline="0">
                <a:solidFill>
                  <a:schemeClr val="tx1"/>
                </a:solidFill>
              </a:rPr>
              <a:t>-size statement of cashflow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5331281482347381"/>
          <c:y val="0.17218759113444149"/>
          <c:w val="0.84668722659667539"/>
          <c:h val="0.504426946631671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'07_CommonSize'!$A$77</c:f>
              <c:strCache>
                <c:ptCount val="1"/>
                <c:pt idx="0">
                  <c:v>Net cash provided by operating activities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'07_CommonSize'!$B$61:$D$61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'07_CommonSize'!$B$77:$D$77</c:f>
              <c:numCache>
                <c:formatCode>0.0%</c:formatCode>
                <c:ptCount val="3"/>
                <c:pt idx="0">
                  <c:v>0.20912730777786015</c:v>
                </c:pt>
                <c:pt idx="1">
                  <c:v>0.46108138275171529</c:v>
                </c:pt>
                <c:pt idx="2">
                  <c:v>0.49111473826984531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5-4C34-81B8-F912BDA9528C}"/>
            </c:ext>
          </c:extLst>
        </c:ser>
        <c:ser>
          <c:idx val="1"/>
          <c:order val="1"/>
          <c:tx>
            <c:strRef>
              <c:f>'07_CommonSize'!$A$87</c:f>
              <c:strCache>
                <c:ptCount val="1"/>
                <c:pt idx="0">
                  <c:v>Net cash provided by (used in) investing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'07_CommonSize'!$B$61:$D$61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'07_CommonSize'!$B$87:$D$87</c:f>
              <c:numCache>
                <c:formatCode>0.0%</c:formatCode>
                <c:ptCount val="3"/>
                <c:pt idx="0">
                  <c:v>0.27341143323200118</c:v>
                </c:pt>
                <c:pt idx="1">
                  <c:v>-0.17343488394996881</c:v>
                </c:pt>
                <c:pt idx="2">
                  <c:v>-0.15648635600818409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5-4C34-81B8-F912BDA9528C}"/>
            </c:ext>
          </c:extLst>
        </c:ser>
        <c:ser>
          <c:idx val="2"/>
          <c:order val="2"/>
          <c:tx>
            <c:strRef>
              <c:f>'07_CommonSize'!$A$96</c:f>
              <c:strCache>
                <c:ptCount val="1"/>
                <c:pt idx="0">
                  <c:v>Net cash used in financing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'07_CommonSize'!$B$61:$D$61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'07_CommonSize'!$B$96:$D$96</c:f>
              <c:numCache>
                <c:formatCode>0.0%</c:formatCode>
                <c:ptCount val="3"/>
                <c:pt idx="0">
                  <c:v>-0.43067398235337734</c:v>
                </c:pt>
                <c:pt idx="1">
                  <c:v>-0.22377794556974492</c:v>
                </c:pt>
                <c:pt idx="2">
                  <c:v>-0.32459750032567797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5-4C34-81B8-F912BDA9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264928"/>
        <c:axId val="1302265888"/>
      </c:barChart>
      <c:catAx>
        <c:axId val="130226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0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65888"/>
        <c:crosses val="autoZero"/>
        <c:auto val="1"/>
        <c:lblAlgn val="ctr"/>
        <c:lblOffset val="100"/>
        <c:noMultiLvlLbl val="0"/>
      </c:catAx>
      <c:valAx>
        <c:axId val="130226588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649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95236220472441"/>
          <c:y val="0.74479002624671919"/>
          <c:w val="0.78373053368328971"/>
          <c:h val="0.227432195975503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1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Price of</a:t>
            </a:r>
            <a:r>
              <a:rPr lang="en-US" b="1" baseline="0">
                <a:solidFill>
                  <a:schemeClr val="tx1"/>
                </a:solidFill>
              </a:rPr>
              <a:t> S&amp;P 500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48447117863986"/>
          <c:y val="0.19499011652969911"/>
          <c:w val="0.82855882442827211"/>
          <c:h val="0.68402568685122112"/>
        </c:manualLayout>
      </c:layout>
      <c:lineChart>
        <c:grouping val="standard"/>
        <c:varyColors val="0"/>
        <c:ser>
          <c:idx val="0"/>
          <c:order val="0"/>
          <c:tx>
            <c:strRef>
              <c:f>'14_Beta'!$B$4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'14_Beta'!$B$5:$B$253</c:f>
              <c:numCache>
                <c:formatCode>#,##0.00</c:formatCode>
                <c:ptCount val="249"/>
                <c:pt idx="0">
                  <c:v>6664.01</c:v>
                </c:pt>
                <c:pt idx="1">
                  <c:v>6629.07</c:v>
                </c:pt>
                <c:pt idx="2">
                  <c:v>6671.06</c:v>
                </c:pt>
                <c:pt idx="3">
                  <c:v>6644.31</c:v>
                </c:pt>
                <c:pt idx="4">
                  <c:v>6654.72</c:v>
                </c:pt>
                <c:pt idx="5">
                  <c:v>6552.51</c:v>
                </c:pt>
                <c:pt idx="6">
                  <c:v>6735.11</c:v>
                </c:pt>
                <c:pt idx="7">
                  <c:v>6753.72</c:v>
                </c:pt>
                <c:pt idx="8">
                  <c:v>6714.59</c:v>
                </c:pt>
                <c:pt idx="9">
                  <c:v>6740.28</c:v>
                </c:pt>
                <c:pt idx="10">
                  <c:v>6715.79</c:v>
                </c:pt>
                <c:pt idx="11">
                  <c:v>6715.35</c:v>
                </c:pt>
                <c:pt idx="12">
                  <c:v>6711.2</c:v>
                </c:pt>
                <c:pt idx="13">
                  <c:v>6688.46</c:v>
                </c:pt>
                <c:pt idx="14">
                  <c:v>6661.21</c:v>
                </c:pt>
                <c:pt idx="15">
                  <c:v>6643.7</c:v>
                </c:pt>
                <c:pt idx="16">
                  <c:v>6604.72</c:v>
                </c:pt>
                <c:pt idx="17">
                  <c:v>6637.97</c:v>
                </c:pt>
                <c:pt idx="18">
                  <c:v>6656.92</c:v>
                </c:pt>
                <c:pt idx="19">
                  <c:v>6693.75</c:v>
                </c:pt>
                <c:pt idx="20">
                  <c:v>6664.36</c:v>
                </c:pt>
                <c:pt idx="21">
                  <c:v>6631.96</c:v>
                </c:pt>
                <c:pt idx="22">
                  <c:v>6600.35</c:v>
                </c:pt>
                <c:pt idx="23">
                  <c:v>6606.76</c:v>
                </c:pt>
                <c:pt idx="24">
                  <c:v>6615.28</c:v>
                </c:pt>
                <c:pt idx="25">
                  <c:v>6584.29</c:v>
                </c:pt>
                <c:pt idx="26">
                  <c:v>6587.47</c:v>
                </c:pt>
                <c:pt idx="27">
                  <c:v>6532.04</c:v>
                </c:pt>
                <c:pt idx="28">
                  <c:v>6512.61</c:v>
                </c:pt>
                <c:pt idx="29">
                  <c:v>6495.15</c:v>
                </c:pt>
                <c:pt idx="30">
                  <c:v>6481.5</c:v>
                </c:pt>
                <c:pt idx="31">
                  <c:v>6502.08</c:v>
                </c:pt>
                <c:pt idx="32">
                  <c:v>6448.26</c:v>
                </c:pt>
                <c:pt idx="33">
                  <c:v>6415.54</c:v>
                </c:pt>
                <c:pt idx="34">
                  <c:v>6460.26</c:v>
                </c:pt>
                <c:pt idx="35">
                  <c:v>6501.86</c:v>
                </c:pt>
                <c:pt idx="36">
                  <c:v>6481.4</c:v>
                </c:pt>
                <c:pt idx="37">
                  <c:v>6465.94</c:v>
                </c:pt>
                <c:pt idx="38">
                  <c:v>6439.32</c:v>
                </c:pt>
                <c:pt idx="39">
                  <c:v>6466.91</c:v>
                </c:pt>
                <c:pt idx="40">
                  <c:v>6370.17</c:v>
                </c:pt>
                <c:pt idx="41">
                  <c:v>6395.78</c:v>
                </c:pt>
                <c:pt idx="42">
                  <c:v>6411.37</c:v>
                </c:pt>
                <c:pt idx="43">
                  <c:v>6449.15</c:v>
                </c:pt>
                <c:pt idx="44">
                  <c:v>6449.8</c:v>
                </c:pt>
                <c:pt idx="45">
                  <c:v>6468.54</c:v>
                </c:pt>
                <c:pt idx="46">
                  <c:v>6466.58</c:v>
                </c:pt>
                <c:pt idx="47">
                  <c:v>6445.76</c:v>
                </c:pt>
                <c:pt idx="48">
                  <c:v>6373.45</c:v>
                </c:pt>
                <c:pt idx="49">
                  <c:v>6389.45</c:v>
                </c:pt>
                <c:pt idx="50">
                  <c:v>6340</c:v>
                </c:pt>
                <c:pt idx="51">
                  <c:v>6345.06</c:v>
                </c:pt>
                <c:pt idx="52">
                  <c:v>6299.19</c:v>
                </c:pt>
                <c:pt idx="53">
                  <c:v>6329.94</c:v>
                </c:pt>
                <c:pt idx="54">
                  <c:v>6238.01</c:v>
                </c:pt>
                <c:pt idx="55">
                  <c:v>6339.39</c:v>
                </c:pt>
                <c:pt idx="56">
                  <c:v>6362.9</c:v>
                </c:pt>
                <c:pt idx="57">
                  <c:v>6370.86</c:v>
                </c:pt>
                <c:pt idx="58">
                  <c:v>6389.77</c:v>
                </c:pt>
                <c:pt idx="59">
                  <c:v>6388.64</c:v>
                </c:pt>
                <c:pt idx="60">
                  <c:v>6363.35</c:v>
                </c:pt>
                <c:pt idx="61">
                  <c:v>6358.91</c:v>
                </c:pt>
                <c:pt idx="62">
                  <c:v>6309.62</c:v>
                </c:pt>
                <c:pt idx="63">
                  <c:v>6305.6</c:v>
                </c:pt>
                <c:pt idx="64">
                  <c:v>6296.79</c:v>
                </c:pt>
                <c:pt idx="65">
                  <c:v>6297.36</c:v>
                </c:pt>
                <c:pt idx="66">
                  <c:v>6263.7</c:v>
                </c:pt>
                <c:pt idx="67">
                  <c:v>6243.76</c:v>
                </c:pt>
                <c:pt idx="68">
                  <c:v>6268.56</c:v>
                </c:pt>
                <c:pt idx="69">
                  <c:v>6259.75</c:v>
                </c:pt>
                <c:pt idx="70">
                  <c:v>6280.46</c:v>
                </c:pt>
                <c:pt idx="71">
                  <c:v>6263.26</c:v>
                </c:pt>
                <c:pt idx="72">
                  <c:v>6225.52</c:v>
                </c:pt>
                <c:pt idx="73">
                  <c:v>6229.98</c:v>
                </c:pt>
                <c:pt idx="74">
                  <c:v>6279.35</c:v>
                </c:pt>
                <c:pt idx="75">
                  <c:v>6227.42</c:v>
                </c:pt>
                <c:pt idx="76">
                  <c:v>6198.01</c:v>
                </c:pt>
                <c:pt idx="77">
                  <c:v>6204.95</c:v>
                </c:pt>
                <c:pt idx="78">
                  <c:v>6173.07</c:v>
                </c:pt>
                <c:pt idx="79">
                  <c:v>6141.02</c:v>
                </c:pt>
                <c:pt idx="80">
                  <c:v>6092.16</c:v>
                </c:pt>
                <c:pt idx="81">
                  <c:v>6092.18</c:v>
                </c:pt>
                <c:pt idx="82">
                  <c:v>6025.17</c:v>
                </c:pt>
                <c:pt idx="83">
                  <c:v>5967.84</c:v>
                </c:pt>
                <c:pt idx="84">
                  <c:v>5980.87</c:v>
                </c:pt>
                <c:pt idx="85">
                  <c:v>5982.72</c:v>
                </c:pt>
                <c:pt idx="86">
                  <c:v>6033.11</c:v>
                </c:pt>
                <c:pt idx="87">
                  <c:v>5976.97</c:v>
                </c:pt>
                <c:pt idx="88">
                  <c:v>6045.26</c:v>
                </c:pt>
                <c:pt idx="89">
                  <c:v>6022.24</c:v>
                </c:pt>
                <c:pt idx="90">
                  <c:v>6038.81</c:v>
                </c:pt>
                <c:pt idx="91">
                  <c:v>6005.88</c:v>
                </c:pt>
                <c:pt idx="92">
                  <c:v>6000.36</c:v>
                </c:pt>
                <c:pt idx="93">
                  <c:v>5939.3</c:v>
                </c:pt>
                <c:pt idx="94">
                  <c:v>5970.81</c:v>
                </c:pt>
                <c:pt idx="95">
                  <c:v>5970.37</c:v>
                </c:pt>
                <c:pt idx="96">
                  <c:v>5935.94</c:v>
                </c:pt>
                <c:pt idx="97">
                  <c:v>5911.69</c:v>
                </c:pt>
                <c:pt idx="98">
                  <c:v>5912.17</c:v>
                </c:pt>
                <c:pt idx="99">
                  <c:v>5888.55</c:v>
                </c:pt>
                <c:pt idx="100">
                  <c:v>5921.54</c:v>
                </c:pt>
                <c:pt idx="101">
                  <c:v>5802.82</c:v>
                </c:pt>
                <c:pt idx="102">
                  <c:v>5842.01</c:v>
                </c:pt>
                <c:pt idx="103">
                  <c:v>5844.61</c:v>
                </c:pt>
                <c:pt idx="104">
                  <c:v>5940.46</c:v>
                </c:pt>
                <c:pt idx="105">
                  <c:v>5963.6</c:v>
                </c:pt>
                <c:pt idx="106">
                  <c:v>5958.38</c:v>
                </c:pt>
                <c:pt idx="107">
                  <c:v>5916.93</c:v>
                </c:pt>
                <c:pt idx="108">
                  <c:v>5892.58</c:v>
                </c:pt>
                <c:pt idx="109">
                  <c:v>5886.55</c:v>
                </c:pt>
                <c:pt idx="110">
                  <c:v>5844.19</c:v>
                </c:pt>
                <c:pt idx="111">
                  <c:v>5659.91</c:v>
                </c:pt>
                <c:pt idx="112">
                  <c:v>5663.94</c:v>
                </c:pt>
                <c:pt idx="113">
                  <c:v>5631.28</c:v>
                </c:pt>
                <c:pt idx="114">
                  <c:v>5606.91</c:v>
                </c:pt>
                <c:pt idx="115">
                  <c:v>5650.38</c:v>
                </c:pt>
                <c:pt idx="116">
                  <c:v>5686.67</c:v>
                </c:pt>
                <c:pt idx="117">
                  <c:v>5604.14</c:v>
                </c:pt>
                <c:pt idx="118">
                  <c:v>5569.06</c:v>
                </c:pt>
                <c:pt idx="119">
                  <c:v>5560.83</c:v>
                </c:pt>
                <c:pt idx="120">
                  <c:v>5528.75</c:v>
                </c:pt>
                <c:pt idx="121">
                  <c:v>5525.21</c:v>
                </c:pt>
                <c:pt idx="122">
                  <c:v>5484.77</c:v>
                </c:pt>
                <c:pt idx="123">
                  <c:v>5375.86</c:v>
                </c:pt>
                <c:pt idx="124">
                  <c:v>5287.76</c:v>
                </c:pt>
                <c:pt idx="125">
                  <c:v>5158.2</c:v>
                </c:pt>
                <c:pt idx="126">
                  <c:v>5282.7</c:v>
                </c:pt>
                <c:pt idx="127">
                  <c:v>5275.7</c:v>
                </c:pt>
                <c:pt idx="128">
                  <c:v>5396.63</c:v>
                </c:pt>
                <c:pt idx="129">
                  <c:v>5405.97</c:v>
                </c:pt>
                <c:pt idx="130">
                  <c:v>5363.36</c:v>
                </c:pt>
                <c:pt idx="131">
                  <c:v>5268.05</c:v>
                </c:pt>
                <c:pt idx="132">
                  <c:v>5456.9</c:v>
                </c:pt>
                <c:pt idx="133">
                  <c:v>4982.7700000000004</c:v>
                </c:pt>
                <c:pt idx="134">
                  <c:v>5062.25</c:v>
                </c:pt>
                <c:pt idx="135">
                  <c:v>5074.08</c:v>
                </c:pt>
                <c:pt idx="136">
                  <c:v>5396.52</c:v>
                </c:pt>
                <c:pt idx="137">
                  <c:v>5670.97</c:v>
                </c:pt>
                <c:pt idx="138">
                  <c:v>5633.07</c:v>
                </c:pt>
                <c:pt idx="139">
                  <c:v>5611.85</c:v>
                </c:pt>
                <c:pt idx="140">
                  <c:v>5580.94</c:v>
                </c:pt>
                <c:pt idx="141">
                  <c:v>5693.31</c:v>
                </c:pt>
                <c:pt idx="142">
                  <c:v>5712.2</c:v>
                </c:pt>
                <c:pt idx="143">
                  <c:v>5776.65</c:v>
                </c:pt>
                <c:pt idx="144">
                  <c:v>5767.57</c:v>
                </c:pt>
                <c:pt idx="145">
                  <c:v>5667.56</c:v>
                </c:pt>
                <c:pt idx="146">
                  <c:v>5662.89</c:v>
                </c:pt>
                <c:pt idx="147">
                  <c:v>5675.29</c:v>
                </c:pt>
                <c:pt idx="148">
                  <c:v>5614.66</c:v>
                </c:pt>
                <c:pt idx="149">
                  <c:v>5675.12</c:v>
                </c:pt>
                <c:pt idx="150">
                  <c:v>5638.94</c:v>
                </c:pt>
                <c:pt idx="151">
                  <c:v>5521.52</c:v>
                </c:pt>
                <c:pt idx="152">
                  <c:v>5599.3</c:v>
                </c:pt>
                <c:pt idx="153">
                  <c:v>5572.07</c:v>
                </c:pt>
                <c:pt idx="154">
                  <c:v>5614.56</c:v>
                </c:pt>
                <c:pt idx="155">
                  <c:v>5770.2</c:v>
                </c:pt>
                <c:pt idx="156">
                  <c:v>5738.52</c:v>
                </c:pt>
                <c:pt idx="157">
                  <c:v>5842.63</c:v>
                </c:pt>
                <c:pt idx="158">
                  <c:v>5778.15</c:v>
                </c:pt>
                <c:pt idx="159">
                  <c:v>5849.72</c:v>
                </c:pt>
                <c:pt idx="160">
                  <c:v>5954.5</c:v>
                </c:pt>
                <c:pt idx="161">
                  <c:v>5861.57</c:v>
                </c:pt>
                <c:pt idx="162">
                  <c:v>5956.06</c:v>
                </c:pt>
                <c:pt idx="163">
                  <c:v>5955.25</c:v>
                </c:pt>
                <c:pt idx="164">
                  <c:v>5983.25</c:v>
                </c:pt>
                <c:pt idx="165">
                  <c:v>6013.13</c:v>
                </c:pt>
                <c:pt idx="166">
                  <c:v>6117.52</c:v>
                </c:pt>
                <c:pt idx="167">
                  <c:v>6144.15</c:v>
                </c:pt>
                <c:pt idx="168">
                  <c:v>6129.58</c:v>
                </c:pt>
                <c:pt idx="169">
                  <c:v>6114.63</c:v>
                </c:pt>
                <c:pt idx="170">
                  <c:v>6115.07</c:v>
                </c:pt>
                <c:pt idx="171">
                  <c:v>6051.97</c:v>
                </c:pt>
                <c:pt idx="172">
                  <c:v>6068.5</c:v>
                </c:pt>
                <c:pt idx="173">
                  <c:v>6066.44</c:v>
                </c:pt>
                <c:pt idx="174">
                  <c:v>6025.99</c:v>
                </c:pt>
                <c:pt idx="175">
                  <c:v>6083.57</c:v>
                </c:pt>
                <c:pt idx="176">
                  <c:v>6061.48</c:v>
                </c:pt>
                <c:pt idx="177">
                  <c:v>6037.88</c:v>
                </c:pt>
                <c:pt idx="178">
                  <c:v>5994.57</c:v>
                </c:pt>
                <c:pt idx="179">
                  <c:v>6040.53</c:v>
                </c:pt>
                <c:pt idx="180">
                  <c:v>6071.17</c:v>
                </c:pt>
                <c:pt idx="181">
                  <c:v>6039.31</c:v>
                </c:pt>
                <c:pt idx="182">
                  <c:v>6067.7</c:v>
                </c:pt>
                <c:pt idx="183">
                  <c:v>6012.28</c:v>
                </c:pt>
                <c:pt idx="184">
                  <c:v>6101.24</c:v>
                </c:pt>
                <c:pt idx="185">
                  <c:v>6118.71</c:v>
                </c:pt>
                <c:pt idx="186">
                  <c:v>6086.37</c:v>
                </c:pt>
                <c:pt idx="187">
                  <c:v>6049.24</c:v>
                </c:pt>
                <c:pt idx="188">
                  <c:v>5996.66</c:v>
                </c:pt>
                <c:pt idx="189">
                  <c:v>5937.34</c:v>
                </c:pt>
                <c:pt idx="190">
                  <c:v>5949.91</c:v>
                </c:pt>
                <c:pt idx="191">
                  <c:v>5842.91</c:v>
                </c:pt>
                <c:pt idx="192">
                  <c:v>5836.22</c:v>
                </c:pt>
                <c:pt idx="193">
                  <c:v>5827.04</c:v>
                </c:pt>
                <c:pt idx="194">
                  <c:v>5918.25</c:v>
                </c:pt>
                <c:pt idx="195">
                  <c:v>5909.03</c:v>
                </c:pt>
                <c:pt idx="196">
                  <c:v>5975.38</c:v>
                </c:pt>
                <c:pt idx="197">
                  <c:v>5942.47</c:v>
                </c:pt>
                <c:pt idx="198">
                  <c:v>5868.55</c:v>
                </c:pt>
                <c:pt idx="199">
                  <c:v>5881.63</c:v>
                </c:pt>
                <c:pt idx="200">
                  <c:v>5906.94</c:v>
                </c:pt>
                <c:pt idx="201">
                  <c:v>5970.84</c:v>
                </c:pt>
                <c:pt idx="202">
                  <c:v>6037.59</c:v>
                </c:pt>
                <c:pt idx="203">
                  <c:v>6040.04</c:v>
                </c:pt>
                <c:pt idx="204">
                  <c:v>5974.07</c:v>
                </c:pt>
                <c:pt idx="205">
                  <c:v>5930.85</c:v>
                </c:pt>
                <c:pt idx="206">
                  <c:v>5867.08</c:v>
                </c:pt>
                <c:pt idx="207">
                  <c:v>5872.16</c:v>
                </c:pt>
                <c:pt idx="208">
                  <c:v>6050.61</c:v>
                </c:pt>
                <c:pt idx="209">
                  <c:v>6074.08</c:v>
                </c:pt>
                <c:pt idx="210">
                  <c:v>6051.09</c:v>
                </c:pt>
                <c:pt idx="211">
                  <c:v>6051.25</c:v>
                </c:pt>
                <c:pt idx="212">
                  <c:v>6084.19</c:v>
                </c:pt>
                <c:pt idx="213">
                  <c:v>6034.91</c:v>
                </c:pt>
                <c:pt idx="214">
                  <c:v>6052.85</c:v>
                </c:pt>
                <c:pt idx="215">
                  <c:v>6090.27</c:v>
                </c:pt>
                <c:pt idx="216">
                  <c:v>6075.11</c:v>
                </c:pt>
                <c:pt idx="217">
                  <c:v>6086.49</c:v>
                </c:pt>
                <c:pt idx="218">
                  <c:v>6049.88</c:v>
                </c:pt>
                <c:pt idx="219">
                  <c:v>6047.15</c:v>
                </c:pt>
                <c:pt idx="220">
                  <c:v>6032.38</c:v>
                </c:pt>
                <c:pt idx="221">
                  <c:v>5998.74</c:v>
                </c:pt>
                <c:pt idx="222">
                  <c:v>6021.63</c:v>
                </c:pt>
                <c:pt idx="223">
                  <c:v>5987.37</c:v>
                </c:pt>
                <c:pt idx="224">
                  <c:v>5969.34</c:v>
                </c:pt>
                <c:pt idx="225">
                  <c:v>5948.71</c:v>
                </c:pt>
                <c:pt idx="226">
                  <c:v>5917.11</c:v>
                </c:pt>
                <c:pt idx="227">
                  <c:v>5916.98</c:v>
                </c:pt>
                <c:pt idx="228">
                  <c:v>5893.62</c:v>
                </c:pt>
                <c:pt idx="229">
                  <c:v>5870.62</c:v>
                </c:pt>
                <c:pt idx="230">
                  <c:v>5949.17</c:v>
                </c:pt>
                <c:pt idx="231">
                  <c:v>5985.38</c:v>
                </c:pt>
                <c:pt idx="232">
                  <c:v>5983.99</c:v>
                </c:pt>
                <c:pt idx="233">
                  <c:v>6001.35</c:v>
                </c:pt>
                <c:pt idx="234">
                  <c:v>5995.54</c:v>
                </c:pt>
                <c:pt idx="235">
                  <c:v>5973.1</c:v>
                </c:pt>
                <c:pt idx="236">
                  <c:v>5929.04</c:v>
                </c:pt>
                <c:pt idx="237">
                  <c:v>5782.76</c:v>
                </c:pt>
                <c:pt idx="238">
                  <c:v>5712.69</c:v>
                </c:pt>
                <c:pt idx="239">
                  <c:v>5728.8</c:v>
                </c:pt>
                <c:pt idx="240">
                  <c:v>5705.45</c:v>
                </c:pt>
                <c:pt idx="241">
                  <c:v>5813.67</c:v>
                </c:pt>
                <c:pt idx="242">
                  <c:v>5832.92</c:v>
                </c:pt>
                <c:pt idx="243">
                  <c:v>5823.52</c:v>
                </c:pt>
                <c:pt idx="244">
                  <c:v>5808.12</c:v>
                </c:pt>
                <c:pt idx="245">
                  <c:v>5809.86</c:v>
                </c:pt>
                <c:pt idx="246">
                  <c:v>5797.42</c:v>
                </c:pt>
                <c:pt idx="247">
                  <c:v>5851.2</c:v>
                </c:pt>
                <c:pt idx="248">
                  <c:v>5853.98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0-425B-8333-FF91203D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469199"/>
        <c:axId val="908468239"/>
      </c:lineChart>
      <c:catAx>
        <c:axId val="908469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8468239"/>
        <c:crosses val="autoZero"/>
        <c:auto val="1"/>
        <c:lblAlgn val="ctr"/>
        <c:lblOffset val="100"/>
        <c:noMultiLvlLbl val="0"/>
      </c:catAx>
      <c:valAx>
        <c:axId val="908468239"/>
        <c:scaling>
          <c:orientation val="minMax"/>
          <c:max val="8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6919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Share Price of</a:t>
            </a:r>
            <a:r>
              <a:rPr lang="en-US" b="1" baseline="0">
                <a:solidFill>
                  <a:schemeClr val="tx1"/>
                </a:solidFill>
              </a:rPr>
              <a:t> NVIDIA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'14_Beta'!$G$4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'14_Beta'!$G$5:$G$253</c:f>
              <c:numCache>
                <c:formatCode>0.00</c:formatCode>
                <c:ptCount val="249"/>
                <c:pt idx="0">
                  <c:v>183.22</c:v>
                </c:pt>
                <c:pt idx="1">
                  <c:v>181.81</c:v>
                </c:pt>
                <c:pt idx="2">
                  <c:v>179.83</c:v>
                </c:pt>
                <c:pt idx="3">
                  <c:v>180.03</c:v>
                </c:pt>
                <c:pt idx="4">
                  <c:v>188.32</c:v>
                </c:pt>
                <c:pt idx="5">
                  <c:v>183.16</c:v>
                </c:pt>
                <c:pt idx="6">
                  <c:v>192.57</c:v>
                </c:pt>
                <c:pt idx="7">
                  <c:v>189.11</c:v>
                </c:pt>
                <c:pt idx="8">
                  <c:v>185.04</c:v>
                </c:pt>
                <c:pt idx="9">
                  <c:v>185.54</c:v>
                </c:pt>
                <c:pt idx="10">
                  <c:v>187.62</c:v>
                </c:pt>
                <c:pt idx="11">
                  <c:v>188.89</c:v>
                </c:pt>
                <c:pt idx="12">
                  <c:v>187.24</c:v>
                </c:pt>
                <c:pt idx="13">
                  <c:v>186.58</c:v>
                </c:pt>
                <c:pt idx="14">
                  <c:v>181.85</c:v>
                </c:pt>
                <c:pt idx="15">
                  <c:v>178.19</c:v>
                </c:pt>
                <c:pt idx="16">
                  <c:v>177.69</c:v>
                </c:pt>
                <c:pt idx="17">
                  <c:v>176.97</c:v>
                </c:pt>
                <c:pt idx="18">
                  <c:v>178.43</c:v>
                </c:pt>
                <c:pt idx="19">
                  <c:v>183.61</c:v>
                </c:pt>
                <c:pt idx="20">
                  <c:v>176.67</c:v>
                </c:pt>
                <c:pt idx="21">
                  <c:v>176.24</c:v>
                </c:pt>
                <c:pt idx="22">
                  <c:v>170.29</c:v>
                </c:pt>
                <c:pt idx="23">
                  <c:v>174.88</c:v>
                </c:pt>
                <c:pt idx="24">
                  <c:v>177.75</c:v>
                </c:pt>
                <c:pt idx="25">
                  <c:v>177.82</c:v>
                </c:pt>
                <c:pt idx="26">
                  <c:v>177.17</c:v>
                </c:pt>
                <c:pt idx="27">
                  <c:v>177.33</c:v>
                </c:pt>
                <c:pt idx="28">
                  <c:v>170.76</c:v>
                </c:pt>
                <c:pt idx="29">
                  <c:v>168.31</c:v>
                </c:pt>
                <c:pt idx="30">
                  <c:v>167.02</c:v>
                </c:pt>
                <c:pt idx="31">
                  <c:v>171.66</c:v>
                </c:pt>
                <c:pt idx="32">
                  <c:v>170.62</c:v>
                </c:pt>
                <c:pt idx="33">
                  <c:v>170.78</c:v>
                </c:pt>
                <c:pt idx="34">
                  <c:v>174.18</c:v>
                </c:pt>
                <c:pt idx="35">
                  <c:v>180.17</c:v>
                </c:pt>
                <c:pt idx="36">
                  <c:v>181.6</c:v>
                </c:pt>
                <c:pt idx="37">
                  <c:v>181.77</c:v>
                </c:pt>
                <c:pt idx="38">
                  <c:v>179.81</c:v>
                </c:pt>
                <c:pt idx="39">
                  <c:v>177.99</c:v>
                </c:pt>
                <c:pt idx="40">
                  <c:v>174.98</c:v>
                </c:pt>
                <c:pt idx="41">
                  <c:v>175.4</c:v>
                </c:pt>
                <c:pt idx="42">
                  <c:v>175.64</c:v>
                </c:pt>
                <c:pt idx="43">
                  <c:v>182.01</c:v>
                </c:pt>
                <c:pt idx="44">
                  <c:v>180.45</c:v>
                </c:pt>
                <c:pt idx="45">
                  <c:v>182.02</c:v>
                </c:pt>
                <c:pt idx="46">
                  <c:v>181.59</c:v>
                </c:pt>
                <c:pt idx="47">
                  <c:v>183.16</c:v>
                </c:pt>
                <c:pt idx="48">
                  <c:v>182.06</c:v>
                </c:pt>
                <c:pt idx="49">
                  <c:v>182.7</c:v>
                </c:pt>
                <c:pt idx="50">
                  <c:v>180.77</c:v>
                </c:pt>
                <c:pt idx="51">
                  <c:v>179.42</c:v>
                </c:pt>
                <c:pt idx="52">
                  <c:v>178.26</c:v>
                </c:pt>
                <c:pt idx="53">
                  <c:v>180</c:v>
                </c:pt>
                <c:pt idx="54">
                  <c:v>173.72</c:v>
                </c:pt>
                <c:pt idx="55">
                  <c:v>177.87</c:v>
                </c:pt>
                <c:pt idx="56">
                  <c:v>179.27</c:v>
                </c:pt>
                <c:pt idx="57">
                  <c:v>175.51</c:v>
                </c:pt>
                <c:pt idx="58">
                  <c:v>176.75</c:v>
                </c:pt>
                <c:pt idx="59">
                  <c:v>173.5</c:v>
                </c:pt>
                <c:pt idx="60">
                  <c:v>173.74</c:v>
                </c:pt>
                <c:pt idx="61">
                  <c:v>170.78</c:v>
                </c:pt>
                <c:pt idx="62">
                  <c:v>167.03</c:v>
                </c:pt>
                <c:pt idx="63">
                  <c:v>171.38</c:v>
                </c:pt>
                <c:pt idx="64">
                  <c:v>172.41</c:v>
                </c:pt>
                <c:pt idx="65">
                  <c:v>173</c:v>
                </c:pt>
                <c:pt idx="66">
                  <c:v>171.37</c:v>
                </c:pt>
                <c:pt idx="67">
                  <c:v>170.7</c:v>
                </c:pt>
                <c:pt idx="68">
                  <c:v>164.07</c:v>
                </c:pt>
                <c:pt idx="69">
                  <c:v>164.92</c:v>
                </c:pt>
                <c:pt idx="70">
                  <c:v>164.1</c:v>
                </c:pt>
                <c:pt idx="71">
                  <c:v>162.88</c:v>
                </c:pt>
                <c:pt idx="72">
                  <c:v>160</c:v>
                </c:pt>
                <c:pt idx="73">
                  <c:v>158.24</c:v>
                </c:pt>
                <c:pt idx="74">
                  <c:v>159.34</c:v>
                </c:pt>
                <c:pt idx="75">
                  <c:v>157.25</c:v>
                </c:pt>
                <c:pt idx="76">
                  <c:v>153.30000000000001</c:v>
                </c:pt>
                <c:pt idx="77">
                  <c:v>157.99</c:v>
                </c:pt>
                <c:pt idx="78">
                  <c:v>157.75</c:v>
                </c:pt>
                <c:pt idx="79">
                  <c:v>155.02000000000001</c:v>
                </c:pt>
                <c:pt idx="80">
                  <c:v>154.31</c:v>
                </c:pt>
                <c:pt idx="81">
                  <c:v>147.9</c:v>
                </c:pt>
                <c:pt idx="82">
                  <c:v>144.16999999999999</c:v>
                </c:pt>
                <c:pt idx="83">
                  <c:v>143.85</c:v>
                </c:pt>
                <c:pt idx="84">
                  <c:v>145.47999999999999</c:v>
                </c:pt>
                <c:pt idx="85">
                  <c:v>144.12</c:v>
                </c:pt>
                <c:pt idx="86">
                  <c:v>144.69</c:v>
                </c:pt>
                <c:pt idx="87">
                  <c:v>141.97</c:v>
                </c:pt>
                <c:pt idx="88">
                  <c:v>145</c:v>
                </c:pt>
                <c:pt idx="89">
                  <c:v>142.83000000000001</c:v>
                </c:pt>
                <c:pt idx="90">
                  <c:v>143.96</c:v>
                </c:pt>
                <c:pt idx="91">
                  <c:v>142.63</c:v>
                </c:pt>
                <c:pt idx="92">
                  <c:v>141.72</c:v>
                </c:pt>
                <c:pt idx="93">
                  <c:v>139.99</c:v>
                </c:pt>
                <c:pt idx="94">
                  <c:v>141.91999999999999</c:v>
                </c:pt>
                <c:pt idx="95">
                  <c:v>141.22</c:v>
                </c:pt>
                <c:pt idx="96">
                  <c:v>137.38</c:v>
                </c:pt>
                <c:pt idx="97">
                  <c:v>135.13</c:v>
                </c:pt>
                <c:pt idx="98">
                  <c:v>139.19</c:v>
                </c:pt>
                <c:pt idx="99">
                  <c:v>134.81</c:v>
                </c:pt>
                <c:pt idx="100">
                  <c:v>135.5</c:v>
                </c:pt>
                <c:pt idx="101">
                  <c:v>131.29</c:v>
                </c:pt>
                <c:pt idx="102">
                  <c:v>132.83000000000001</c:v>
                </c:pt>
                <c:pt idx="103">
                  <c:v>131.80000000000001</c:v>
                </c:pt>
                <c:pt idx="104">
                  <c:v>134.38</c:v>
                </c:pt>
                <c:pt idx="105">
                  <c:v>135.57</c:v>
                </c:pt>
                <c:pt idx="106">
                  <c:v>135.4</c:v>
                </c:pt>
                <c:pt idx="107">
                  <c:v>134.83000000000001</c:v>
                </c:pt>
                <c:pt idx="108">
                  <c:v>135.34</c:v>
                </c:pt>
                <c:pt idx="109">
                  <c:v>129.93</c:v>
                </c:pt>
                <c:pt idx="110">
                  <c:v>123</c:v>
                </c:pt>
                <c:pt idx="111">
                  <c:v>116.65</c:v>
                </c:pt>
                <c:pt idx="112">
                  <c:v>117.37</c:v>
                </c:pt>
                <c:pt idx="113">
                  <c:v>117.06</c:v>
                </c:pt>
                <c:pt idx="114">
                  <c:v>113.54</c:v>
                </c:pt>
                <c:pt idx="115">
                  <c:v>113.82</c:v>
                </c:pt>
                <c:pt idx="116">
                  <c:v>114.5</c:v>
                </c:pt>
                <c:pt idx="117">
                  <c:v>111.61</c:v>
                </c:pt>
                <c:pt idx="118">
                  <c:v>108.92</c:v>
                </c:pt>
                <c:pt idx="119">
                  <c:v>109.02</c:v>
                </c:pt>
                <c:pt idx="120">
                  <c:v>108.73</c:v>
                </c:pt>
                <c:pt idx="121">
                  <c:v>111.01</c:v>
                </c:pt>
                <c:pt idx="122">
                  <c:v>106.43</c:v>
                </c:pt>
                <c:pt idx="123">
                  <c:v>102.71</c:v>
                </c:pt>
                <c:pt idx="124">
                  <c:v>98.89</c:v>
                </c:pt>
                <c:pt idx="125">
                  <c:v>96.91</c:v>
                </c:pt>
                <c:pt idx="126">
                  <c:v>101.49</c:v>
                </c:pt>
                <c:pt idx="127">
                  <c:v>104.49</c:v>
                </c:pt>
                <c:pt idx="128">
                  <c:v>112.2</c:v>
                </c:pt>
                <c:pt idx="129">
                  <c:v>110.71</c:v>
                </c:pt>
                <c:pt idx="130">
                  <c:v>110.93</c:v>
                </c:pt>
                <c:pt idx="131">
                  <c:v>107.57</c:v>
                </c:pt>
                <c:pt idx="132">
                  <c:v>114.33</c:v>
                </c:pt>
                <c:pt idx="133">
                  <c:v>96.3</c:v>
                </c:pt>
                <c:pt idx="134">
                  <c:v>97.64</c:v>
                </c:pt>
                <c:pt idx="135">
                  <c:v>94.31</c:v>
                </c:pt>
                <c:pt idx="136">
                  <c:v>101.8</c:v>
                </c:pt>
                <c:pt idx="137">
                  <c:v>110.42</c:v>
                </c:pt>
                <c:pt idx="138">
                  <c:v>110.15</c:v>
                </c:pt>
                <c:pt idx="139">
                  <c:v>108.38</c:v>
                </c:pt>
                <c:pt idx="140">
                  <c:v>109.67</c:v>
                </c:pt>
                <c:pt idx="141">
                  <c:v>111.43</c:v>
                </c:pt>
                <c:pt idx="142">
                  <c:v>113.76</c:v>
                </c:pt>
                <c:pt idx="143">
                  <c:v>120.69</c:v>
                </c:pt>
                <c:pt idx="144">
                  <c:v>121.41</c:v>
                </c:pt>
                <c:pt idx="145">
                  <c:v>117.7</c:v>
                </c:pt>
                <c:pt idx="146">
                  <c:v>118.53</c:v>
                </c:pt>
                <c:pt idx="147">
                  <c:v>117.52</c:v>
                </c:pt>
                <c:pt idx="148">
                  <c:v>115.43</c:v>
                </c:pt>
                <c:pt idx="149">
                  <c:v>119.53</c:v>
                </c:pt>
                <c:pt idx="150">
                  <c:v>121.67</c:v>
                </c:pt>
                <c:pt idx="151">
                  <c:v>115.58</c:v>
                </c:pt>
                <c:pt idx="152">
                  <c:v>115.74</c:v>
                </c:pt>
                <c:pt idx="153">
                  <c:v>108.76</c:v>
                </c:pt>
                <c:pt idx="154">
                  <c:v>106.98</c:v>
                </c:pt>
                <c:pt idx="155">
                  <c:v>112.69</c:v>
                </c:pt>
                <c:pt idx="156">
                  <c:v>110.57</c:v>
                </c:pt>
                <c:pt idx="157">
                  <c:v>117.3</c:v>
                </c:pt>
                <c:pt idx="158">
                  <c:v>115.99</c:v>
                </c:pt>
                <c:pt idx="159">
                  <c:v>114.06</c:v>
                </c:pt>
                <c:pt idx="160">
                  <c:v>124.92</c:v>
                </c:pt>
                <c:pt idx="161">
                  <c:v>120.15</c:v>
                </c:pt>
                <c:pt idx="162">
                  <c:v>131.28</c:v>
                </c:pt>
                <c:pt idx="163">
                  <c:v>126.63</c:v>
                </c:pt>
                <c:pt idx="164">
                  <c:v>130.28</c:v>
                </c:pt>
                <c:pt idx="165">
                  <c:v>134.43</c:v>
                </c:pt>
                <c:pt idx="166">
                  <c:v>140.11000000000001</c:v>
                </c:pt>
                <c:pt idx="167">
                  <c:v>139.22999999999999</c:v>
                </c:pt>
                <c:pt idx="168">
                  <c:v>139.4</c:v>
                </c:pt>
                <c:pt idx="169">
                  <c:v>138.85</c:v>
                </c:pt>
                <c:pt idx="170">
                  <c:v>135.29</c:v>
                </c:pt>
                <c:pt idx="171">
                  <c:v>131.13999999999999</c:v>
                </c:pt>
                <c:pt idx="172">
                  <c:v>132.80000000000001</c:v>
                </c:pt>
                <c:pt idx="173">
                  <c:v>133.57</c:v>
                </c:pt>
                <c:pt idx="174">
                  <c:v>129.84</c:v>
                </c:pt>
                <c:pt idx="175">
                  <c:v>128.68</c:v>
                </c:pt>
                <c:pt idx="176">
                  <c:v>124.83</c:v>
                </c:pt>
                <c:pt idx="177">
                  <c:v>118.65</c:v>
                </c:pt>
                <c:pt idx="178">
                  <c:v>116.66</c:v>
                </c:pt>
                <c:pt idx="179">
                  <c:v>120.07</c:v>
                </c:pt>
                <c:pt idx="180">
                  <c:v>124.65</c:v>
                </c:pt>
                <c:pt idx="181">
                  <c:v>123.7</c:v>
                </c:pt>
                <c:pt idx="182">
                  <c:v>128.99</c:v>
                </c:pt>
                <c:pt idx="183">
                  <c:v>118.42</c:v>
                </c:pt>
                <c:pt idx="184">
                  <c:v>142.62</c:v>
                </c:pt>
                <c:pt idx="185">
                  <c:v>147.22</c:v>
                </c:pt>
                <c:pt idx="186">
                  <c:v>147.07</c:v>
                </c:pt>
                <c:pt idx="187">
                  <c:v>140.83000000000001</c:v>
                </c:pt>
                <c:pt idx="188">
                  <c:v>137.71</c:v>
                </c:pt>
                <c:pt idx="189">
                  <c:v>133.57</c:v>
                </c:pt>
                <c:pt idx="190">
                  <c:v>136.24</c:v>
                </c:pt>
                <c:pt idx="191">
                  <c:v>131.76</c:v>
                </c:pt>
                <c:pt idx="192">
                  <c:v>133.22999999999999</c:v>
                </c:pt>
                <c:pt idx="193">
                  <c:v>135.91</c:v>
                </c:pt>
                <c:pt idx="194">
                  <c:v>140.11000000000001</c:v>
                </c:pt>
                <c:pt idx="195">
                  <c:v>140.13999999999999</c:v>
                </c:pt>
                <c:pt idx="196">
                  <c:v>149.43</c:v>
                </c:pt>
                <c:pt idx="197">
                  <c:v>144.47</c:v>
                </c:pt>
                <c:pt idx="198">
                  <c:v>138.31</c:v>
                </c:pt>
                <c:pt idx="199">
                  <c:v>134.29</c:v>
                </c:pt>
                <c:pt idx="200">
                  <c:v>137.49</c:v>
                </c:pt>
                <c:pt idx="201">
                  <c:v>137.01</c:v>
                </c:pt>
                <c:pt idx="202">
                  <c:v>139.93</c:v>
                </c:pt>
                <c:pt idx="203">
                  <c:v>140.22</c:v>
                </c:pt>
                <c:pt idx="204">
                  <c:v>139.66999999999999</c:v>
                </c:pt>
                <c:pt idx="205">
                  <c:v>134.69999999999999</c:v>
                </c:pt>
                <c:pt idx="206">
                  <c:v>130.68</c:v>
                </c:pt>
                <c:pt idx="207">
                  <c:v>128.91</c:v>
                </c:pt>
                <c:pt idx="208">
                  <c:v>130.38999999999999</c:v>
                </c:pt>
                <c:pt idx="209">
                  <c:v>132</c:v>
                </c:pt>
                <c:pt idx="210">
                  <c:v>134.25</c:v>
                </c:pt>
                <c:pt idx="211">
                  <c:v>137.34</c:v>
                </c:pt>
                <c:pt idx="212">
                  <c:v>139.31</c:v>
                </c:pt>
                <c:pt idx="213">
                  <c:v>135.07</c:v>
                </c:pt>
                <c:pt idx="214">
                  <c:v>138.81</c:v>
                </c:pt>
                <c:pt idx="215">
                  <c:v>142.44</c:v>
                </c:pt>
                <c:pt idx="216">
                  <c:v>145.06</c:v>
                </c:pt>
                <c:pt idx="217">
                  <c:v>145.13999999999999</c:v>
                </c:pt>
                <c:pt idx="218">
                  <c:v>140.26</c:v>
                </c:pt>
                <c:pt idx="219">
                  <c:v>138.63</c:v>
                </c:pt>
                <c:pt idx="220">
                  <c:v>138.25</c:v>
                </c:pt>
                <c:pt idx="221">
                  <c:v>135.34</c:v>
                </c:pt>
                <c:pt idx="222">
                  <c:v>136.91999999999999</c:v>
                </c:pt>
                <c:pt idx="223">
                  <c:v>136.02000000000001</c:v>
                </c:pt>
                <c:pt idx="224">
                  <c:v>141.94999999999999</c:v>
                </c:pt>
                <c:pt idx="225">
                  <c:v>146.66999999999999</c:v>
                </c:pt>
                <c:pt idx="226">
                  <c:v>145.88999999999999</c:v>
                </c:pt>
                <c:pt idx="227">
                  <c:v>147.01</c:v>
                </c:pt>
                <c:pt idx="228">
                  <c:v>140.15</c:v>
                </c:pt>
                <c:pt idx="229">
                  <c:v>141.97999999999999</c:v>
                </c:pt>
                <c:pt idx="230">
                  <c:v>146.76</c:v>
                </c:pt>
                <c:pt idx="231">
                  <c:v>146.27000000000001</c:v>
                </c:pt>
                <c:pt idx="232">
                  <c:v>148.29</c:v>
                </c:pt>
                <c:pt idx="233">
                  <c:v>145.26</c:v>
                </c:pt>
                <c:pt idx="234">
                  <c:v>147.63</c:v>
                </c:pt>
                <c:pt idx="235">
                  <c:v>148.88</c:v>
                </c:pt>
                <c:pt idx="236">
                  <c:v>145.61000000000001</c:v>
                </c:pt>
                <c:pt idx="237">
                  <c:v>139.91</c:v>
                </c:pt>
                <c:pt idx="238">
                  <c:v>136.05000000000001</c:v>
                </c:pt>
                <c:pt idx="239">
                  <c:v>135.4</c:v>
                </c:pt>
                <c:pt idx="240">
                  <c:v>132.76</c:v>
                </c:pt>
                <c:pt idx="241">
                  <c:v>139.34</c:v>
                </c:pt>
                <c:pt idx="242">
                  <c:v>141.25</c:v>
                </c:pt>
                <c:pt idx="243">
                  <c:v>140.52000000000001</c:v>
                </c:pt>
                <c:pt idx="244">
                  <c:v>141.54</c:v>
                </c:pt>
                <c:pt idx="245">
                  <c:v>140.41</c:v>
                </c:pt>
                <c:pt idx="246">
                  <c:v>139.56</c:v>
                </c:pt>
                <c:pt idx="247">
                  <c:v>143.59</c:v>
                </c:pt>
                <c:pt idx="248">
                  <c:v>143.71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7-4E04-9733-2B20EEF7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435119"/>
        <c:axId val="908433199"/>
      </c:lineChart>
      <c:catAx>
        <c:axId val="908435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8433199"/>
        <c:crosses val="autoZero"/>
        <c:auto val="1"/>
        <c:lblAlgn val="ctr"/>
        <c:lblOffset val="100"/>
        <c:noMultiLvlLbl val="0"/>
      </c:catAx>
      <c:valAx>
        <c:axId val="9084331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3511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8462309093548819E-2"/>
          <c:y val="0.1187769638897534"/>
          <c:w val="0.88486351706036748"/>
          <c:h val="0.69923556430446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'17_ComparableAnalysis'!$A$6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'17_ComparableAnalysis'!$M$6:$O$6</c:f>
              <c:numCache>
                <c:formatCode>#,##0.0\x</c:formatCode>
                <c:ptCount val="3"/>
                <c:pt idx="0">
                  <c:v>26.667776298268976</c:v>
                </c:pt>
                <c:pt idx="1">
                  <c:v>44.831603581603581</c:v>
                </c:pt>
                <c:pt idx="2">
                  <c:v>51.411616628175523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B-44F1-A9E3-78634FF2EBE0}"/>
            </c:ext>
          </c:extLst>
        </c:ser>
        <c:ser>
          <c:idx val="1"/>
          <c:order val="1"/>
          <c:tx>
            <c:strRef>
              <c:f>'17_ComparableAnalysis'!$A$7</c:f>
              <c:strCache>
                <c:ptCount val="1"/>
                <c:pt idx="0">
                  <c:v>AMD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'17_ComparableAnalysis'!$M$7:$O$7</c:f>
              <c:numCache>
                <c:formatCode>#,##0.0\x</c:formatCode>
                <c:ptCount val="3"/>
                <c:pt idx="0">
                  <c:v>12.711824324324324</c:v>
                </c:pt>
                <c:pt idx="1">
                  <c:v>68.288566243194197</c:v>
                </c:pt>
                <c:pt idx="2">
                  <c:v>133.65724381625441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B-44F1-A9E3-78634FF2EBE0}"/>
            </c:ext>
          </c:extLst>
        </c:ser>
        <c:ser>
          <c:idx val="2"/>
          <c:order val="2"/>
          <c:tx>
            <c:strRef>
              <c:f>'17_ComparableAnalysis'!$A$8</c:f>
              <c:strCache>
                <c:ptCount val="1"/>
                <c:pt idx="0">
                  <c:v>Intel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'17_ComparableAnalysis'!$M$8:$O$8</c:f>
              <c:numCache>
                <c:formatCode>#,##0.0\x</c:formatCode>
                <c:ptCount val="3"/>
                <c:pt idx="0">
                  <c:v>3.8656491426417938</c:v>
                </c:pt>
                <c:pt idx="1">
                  <c:v>22.298913043478262</c:v>
                </c:pt>
                <c:pt idx="2">
                  <c:v>-8.5882926829268289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B-44F1-A9E3-78634FF2EBE0}"/>
            </c:ext>
          </c:extLst>
        </c:ser>
        <c:ser>
          <c:idx val="3"/>
          <c:order val="3"/>
          <c:tx>
            <c:strRef>
              <c:f>'17_ComparableAnalysis'!$A$9</c:f>
              <c:strCache>
                <c:ptCount val="1"/>
                <c:pt idx="0">
                  <c:v>Qualcomm (QCOM)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'17_ComparableAnalysis'!$M$9:$O$9</c:f>
              <c:numCache>
                <c:formatCode>#,##0.0\x</c:formatCode>
                <c:ptCount val="3"/>
                <c:pt idx="0">
                  <c:v>4.1659731853906612</c:v>
                </c:pt>
                <c:pt idx="1">
                  <c:v>12.99351117519827</c:v>
                </c:pt>
                <c:pt idx="2">
                  <c:v>15.150259067357513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1B-44F1-A9E3-78634FF2EBE0}"/>
            </c:ext>
          </c:extLst>
        </c:ser>
        <c:ser>
          <c:idx val="4"/>
          <c:order val="4"/>
          <c:tx>
            <c:strRef>
              <c:f>'17_ComparableAnalysis'!$A$10</c:f>
              <c:strCache>
                <c:ptCount val="1"/>
                <c:pt idx="0">
                  <c:v>Broadcom (AVGO)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'17_ComparableAnalysis'!$M$10:$O$10</c:f>
              <c:numCache>
                <c:formatCode>#,##0.0\x</c:formatCode>
                <c:ptCount val="3"/>
                <c:pt idx="0">
                  <c:v>28.419322542966796</c:v>
                </c:pt>
                <c:pt idx="1">
                  <c:v>52.005190839694656</c:v>
                </c:pt>
                <c:pt idx="2">
                  <c:v>87.145272054939255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B-44F1-A9E3-78634FF2EBE0}"/>
            </c:ext>
          </c:extLst>
        </c:ser>
        <c:ser>
          <c:idx val="5"/>
          <c:order val="5"/>
          <c:tx>
            <c:strRef>
              <c:f>'17_ComparableAnalysis'!$A$11</c:f>
              <c:strCache>
                <c:ptCount val="1"/>
                <c:pt idx="0">
                  <c:v>TSMC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'17_ComparableAnalysis'!$M$4:$O$4</c:f>
              <c:strCache>
                <c:ptCount val="3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</c:strCache>
            </c:strRef>
          </c:cat>
          <c:val>
            <c:numRef>
              <c:f>'17_ComparableAnalysis'!$M$11:$O$11</c:f>
              <c:numCache>
                <c:formatCode>#,##0.0\x</c:formatCode>
                <c:ptCount val="3"/>
                <c:pt idx="0">
                  <c:v>9.8086963821035837</c:v>
                </c:pt>
                <c:pt idx="1">
                  <c:v>14.293700305810397</c:v>
                </c:pt>
                <c:pt idx="2">
                  <c:v>23.769439596664725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1B-44F1-A9E3-78634FF2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066047"/>
        <c:axId val="798063647"/>
      </c:barChart>
      <c:catAx>
        <c:axId val="7980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3647"/>
        <c:crosses val="autoZero"/>
        <c:auto val="1"/>
        <c:lblAlgn val="ctr"/>
        <c:lblOffset val="100"/>
        <c:noMultiLvlLbl val="0"/>
      </c:catAx>
      <c:valAx>
        <c:axId val="798063647"/>
        <c:scaling>
          <c:orientation val="minMax"/>
        </c:scaling>
        <c:delete val="0"/>
        <c:axPos val="l"/>
        <c:numFmt formatCode="#,##0.0\x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604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1430555</xdr:colOff>
      <xdr:row>35</xdr:row>
      <xdr:rowOff>50532</xdr:rowOff>
    </xdr:from>
    <xdr:to>
      <xdr:col>12</xdr:col>
      <xdr:colOff>605054</xdr:colOff>
      <xdr:row>46</xdr:row>
      <xdr:rowOff>121652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528320</xdr:colOff>
      <xdr:row>34</xdr:row>
      <xdr:rowOff>162560</xdr:rowOff>
    </xdr:from>
    <xdr:to>
      <xdr:col>9</xdr:col>
      <xdr:colOff>955040</xdr:colOff>
      <xdr:row>46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133359</xdr:colOff>
      <xdr:row>43</xdr:row>
      <xdr:rowOff>7398</xdr:rowOff>
    </xdr:from>
    <xdr:to>
      <xdr:col>2</xdr:col>
      <xdr:colOff>1109709</xdr:colOff>
      <xdr:row>58</xdr:row>
      <xdr:rowOff>81972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230808</xdr:colOff>
      <xdr:row>23</xdr:row>
      <xdr:rowOff>78072</xdr:rowOff>
    </xdr:from>
    <xdr:to>
      <xdr:col>17</xdr:col>
      <xdr:colOff>516558</xdr:colOff>
      <xdr:row>37</xdr:row>
      <xdr:rowOff>44895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224367</xdr:colOff>
      <xdr:row>37</xdr:row>
      <xdr:rowOff>117475</xdr:rowOff>
    </xdr:from>
    <xdr:to>
      <xdr:col>17</xdr:col>
      <xdr:colOff>503767</xdr:colOff>
      <xdr:row>52</xdr:row>
      <xdr:rowOff>49742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1268730</xdr:colOff>
      <xdr:row>53</xdr:row>
      <xdr:rowOff>28575</xdr:rowOff>
    </xdr:from>
    <xdr:to>
      <xdr:col>9</xdr:col>
      <xdr:colOff>285750</xdr:colOff>
      <xdr:row>65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81915</xdr:colOff>
      <xdr:row>53</xdr:row>
      <xdr:rowOff>76200</xdr:rowOff>
    </xdr:from>
    <xdr:to>
      <xdr:col>15</xdr:col>
      <xdr:colOff>581025</xdr:colOff>
      <xdr:row>66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372907</xdr:colOff>
      <xdr:row>18</xdr:row>
      <xdr:rowOff>165652</xdr:rowOff>
    </xdr:from>
    <xdr:to>
      <xdr:col>26</xdr:col>
      <xdr:colOff>883477</xdr:colOff>
      <xdr:row>32</xdr:row>
      <xdr:rowOff>31955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844379</xdr:colOff>
      <xdr:row>78</xdr:row>
      <xdr:rowOff>245075</xdr:rowOff>
    </xdr:from>
    <xdr:to>
      <xdr:col>15</xdr:col>
      <xdr:colOff>51487</xdr:colOff>
      <xdr:row>92</xdr:row>
      <xdr:rowOff>166815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332509</xdr:colOff>
      <xdr:row>1</xdr:row>
      <xdr:rowOff>178376</xdr:rowOff>
    </xdr:from>
    <xdr:to>
      <xdr:col>27</xdr:col>
      <xdr:colOff>180109</xdr:colOff>
      <xdr:row>16</xdr:row>
      <xdr:rowOff>136813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420414</xdr:colOff>
      <xdr:row>74</xdr:row>
      <xdr:rowOff>93278</xdr:rowOff>
    </xdr:from>
    <xdr:to>
      <xdr:col>14</xdr:col>
      <xdr:colOff>433551</xdr:colOff>
      <xdr:row>92</xdr:row>
      <xdr:rowOff>131380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259977</xdr:colOff>
      <xdr:row>1</xdr:row>
      <xdr:rowOff>143435</xdr:rowOff>
    </xdr:from>
    <xdr:to>
      <xdr:col>16</xdr:col>
      <xdr:colOff>555812</xdr:colOff>
      <xdr:row>12</xdr:row>
      <xdr:rowOff>161364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13</xdr:row>
      <xdr:rowOff>89647</xdr:rowOff>
    </xdr:from>
    <xdr:to>
      <xdr:col>16</xdr:col>
      <xdr:colOff>600635</xdr:colOff>
      <xdr:row>24</xdr:row>
      <xdr:rowOff>116542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605656</xdr:colOff>
      <xdr:row>5</xdr:row>
      <xdr:rowOff>90243</xdr:rowOff>
    </xdr:from>
    <xdr:to>
      <xdr:col>24</xdr:col>
      <xdr:colOff>262046</xdr:colOff>
      <xdr:row>18</xdr:row>
      <xdr:rowOff>3314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32" customWidth="1"/>
    <col min="2" max="2" width="12" customWidth="1"/>
    <col min="3" max="7" width="10" customWidth="1"/>
    <col min="8" max="8" width="45" customWidth="1"/>
    <col min="9" max="9" width="28" customWidth="1"/>
  </cols>
  <sheetData>
    <row r="1" spans="1:9" ht="30" customHeight="1" x14ac:dyDescent="0.3">
      <c r="A1" s="704" t="s">
        <v>27</v>
      </c>
      <c r="B1" s="700"/>
      <c r="C1" s="700"/>
      <c r="D1" s="700"/>
      <c r="E1" s="700"/>
      <c r="F1" s="700"/>
      <c r="G1" s="700"/>
      <c r="H1" s="700"/>
      <c r="I1" s="700"/>
    </row>
    <row r="2" spans="1:9" ht="18" customHeight="1" x14ac:dyDescent="0.3">
      <c r="A2" s="703" t="s">
        <v>28</v>
      </c>
      <c r="B2" s="700"/>
      <c r="C2" s="700"/>
      <c r="D2" s="700"/>
      <c r="E2" s="700"/>
      <c r="F2" s="700"/>
      <c r="G2" s="700"/>
      <c r="H2" s="700"/>
      <c r="I2" s="700"/>
    </row>
    <row r="3" spans="1:9" ht="7.95" customHeight="1" x14ac:dyDescent="0.3"/>
    <row r="4" spans="1:9" ht="22.05" customHeight="1" x14ac:dyDescent="0.3">
      <c r="A4" s="702" t="s">
        <v>29</v>
      </c>
      <c r="B4" s="700"/>
      <c r="C4" s="700"/>
      <c r="D4" s="700"/>
      <c r="E4" s="700"/>
      <c r="F4" s="700"/>
    </row>
    <row r="5" spans="1:9" ht="18" customHeight="1" x14ac:dyDescent="0.3">
      <c r="A5" s="605" t="s">
        <v>30</v>
      </c>
      <c r="B5" s="605" t="s">
        <v>31</v>
      </c>
      <c r="C5" s="605" t="s">
        <v>32</v>
      </c>
      <c r="D5" s="605" t="s">
        <v>33</v>
      </c>
      <c r="E5" s="605" t="s">
        <v>34</v>
      </c>
      <c r="F5" s="605" t="s">
        <v>35</v>
      </c>
      <c r="G5" s="605" t="s">
        <v>36</v>
      </c>
      <c r="H5" s="605" t="s">
        <v>37</v>
      </c>
      <c r="I5" s="605" t="s">
        <v>38</v>
      </c>
    </row>
    <row r="6" spans="1:9" ht="31.95" customHeight="1" x14ac:dyDescent="0.3">
      <c r="A6" s="606" t="s">
        <v>39</v>
      </c>
      <c r="B6" s="607">
        <f>'15_WACC'!F10</f>
        <v>4.07E-2</v>
      </c>
      <c r="C6" s="608"/>
      <c r="D6" s="608"/>
      <c r="E6" s="608"/>
      <c r="F6" s="608"/>
      <c r="G6" s="608"/>
      <c r="H6" s="609" t="s">
        <v>40</v>
      </c>
      <c r="I6" s="610" t="s">
        <v>41</v>
      </c>
    </row>
    <row r="7" spans="1:9" ht="31.95" customHeight="1" x14ac:dyDescent="0.3">
      <c r="A7" s="611" t="s">
        <v>42</v>
      </c>
      <c r="B7" s="612">
        <f>'15_WACC'!F12</f>
        <v>0.05</v>
      </c>
      <c r="C7" s="613"/>
      <c r="D7" s="613"/>
      <c r="E7" s="613"/>
      <c r="F7" s="613"/>
      <c r="G7" s="613"/>
      <c r="H7" s="614" t="s">
        <v>43</v>
      </c>
      <c r="I7" s="615" t="s">
        <v>44</v>
      </c>
    </row>
    <row r="8" spans="1:9" ht="31.95" customHeight="1" x14ac:dyDescent="0.3">
      <c r="A8" s="606" t="s">
        <v>45</v>
      </c>
      <c r="B8" s="616">
        <f>'15_WACC'!F11</f>
        <v>1.7728261434565593</v>
      </c>
      <c r="C8" s="608"/>
      <c r="D8" s="608"/>
      <c r="E8" s="608"/>
      <c r="F8" s="608"/>
      <c r="G8" s="608"/>
      <c r="H8" s="609" t="s">
        <v>46</v>
      </c>
      <c r="I8" s="610" t="s">
        <v>47</v>
      </c>
    </row>
    <row r="9" spans="1:9" ht="31.95" customHeight="1" x14ac:dyDescent="0.3">
      <c r="A9" s="611" t="s">
        <v>48</v>
      </c>
      <c r="B9" s="612">
        <f>'15_WACC'!F9</f>
        <v>0.12934130717282799</v>
      </c>
      <c r="C9" s="613"/>
      <c r="D9" s="613"/>
      <c r="E9" s="613"/>
      <c r="F9" s="613"/>
      <c r="G9" s="613"/>
      <c r="H9" s="614" t="s">
        <v>49</v>
      </c>
      <c r="I9" s="615" t="s">
        <v>50</v>
      </c>
    </row>
    <row r="10" spans="1:9" ht="31.95" customHeight="1" x14ac:dyDescent="0.3">
      <c r="A10" s="606" t="s">
        <v>51</v>
      </c>
      <c r="B10" s="607">
        <f>'15_WACC'!F16</f>
        <v>2.8285274047985913E-2</v>
      </c>
      <c r="C10" s="608"/>
      <c r="D10" s="608"/>
      <c r="E10" s="608"/>
      <c r="F10" s="608"/>
      <c r="G10" s="608"/>
      <c r="H10" s="609" t="s">
        <v>52</v>
      </c>
      <c r="I10" s="610" t="s">
        <v>53</v>
      </c>
    </row>
    <row r="11" spans="1:9" ht="31.95" customHeight="1" x14ac:dyDescent="0.3">
      <c r="A11" s="611" t="s">
        <v>54</v>
      </c>
      <c r="B11" s="612">
        <f>'15_WACC'!F17</f>
        <v>0.13264941803727417</v>
      </c>
      <c r="C11" s="613"/>
      <c r="D11" s="613"/>
      <c r="E11" s="613"/>
      <c r="F11" s="613"/>
      <c r="G11" s="613"/>
      <c r="H11" s="614" t="s">
        <v>55</v>
      </c>
      <c r="I11" s="615" t="s">
        <v>56</v>
      </c>
    </row>
    <row r="12" spans="1:9" ht="31.95" customHeight="1" x14ac:dyDescent="0.3">
      <c r="A12" s="606" t="s">
        <v>57</v>
      </c>
      <c r="B12" s="607">
        <f>'15_WACC'!F8</f>
        <v>0.99810266333338038</v>
      </c>
      <c r="C12" s="608"/>
      <c r="D12" s="608"/>
      <c r="E12" s="608"/>
      <c r="F12" s="608"/>
      <c r="G12" s="608"/>
      <c r="H12" s="609" t="s">
        <v>58</v>
      </c>
      <c r="I12" s="610" t="s">
        <v>59</v>
      </c>
    </row>
    <row r="13" spans="1:9" ht="31.95" customHeight="1" x14ac:dyDescent="0.3">
      <c r="A13" s="611" t="s">
        <v>60</v>
      </c>
      <c r="B13" s="612">
        <f>'15_WACC'!F15</f>
        <v>1.8973366666195863E-3</v>
      </c>
      <c r="C13" s="613"/>
      <c r="D13" s="613"/>
      <c r="E13" s="613"/>
      <c r="F13" s="613"/>
      <c r="G13" s="613"/>
      <c r="H13" s="614" t="s">
        <v>61</v>
      </c>
      <c r="I13" s="615" t="s">
        <v>62</v>
      </c>
    </row>
    <row r="14" spans="1:9" ht="31.95" customHeight="1" x14ac:dyDescent="0.3">
      <c r="A14" s="617" t="s">
        <v>63</v>
      </c>
      <c r="B14" s="618">
        <f>'15_WACC'!F19</f>
        <v>0.12914245100092209</v>
      </c>
      <c r="C14" s="608"/>
      <c r="D14" s="608"/>
      <c r="E14" s="608"/>
      <c r="F14" s="608"/>
      <c r="G14" s="608"/>
      <c r="H14" s="609" t="s">
        <v>64</v>
      </c>
      <c r="I14" s="610" t="s">
        <v>65</v>
      </c>
    </row>
    <row r="15" spans="1:9" ht="7.95" customHeight="1" x14ac:dyDescent="0.3"/>
    <row r="16" spans="1:9" ht="22.05" customHeight="1" x14ac:dyDescent="0.3">
      <c r="A16" s="702" t="s">
        <v>66</v>
      </c>
      <c r="B16" s="700"/>
      <c r="C16" s="700"/>
      <c r="D16" s="700"/>
      <c r="E16" s="700"/>
      <c r="F16" s="700"/>
    </row>
    <row r="17" spans="1:9" ht="18" customHeight="1" x14ac:dyDescent="0.3">
      <c r="A17" s="605" t="s">
        <v>30</v>
      </c>
      <c r="B17" s="605" t="s">
        <v>31</v>
      </c>
      <c r="C17" s="605" t="s">
        <v>32</v>
      </c>
      <c r="D17" s="605" t="s">
        <v>33</v>
      </c>
      <c r="E17" s="605" t="s">
        <v>34</v>
      </c>
      <c r="F17" s="605" t="s">
        <v>35</v>
      </c>
      <c r="G17" s="605" t="s">
        <v>36</v>
      </c>
      <c r="H17" s="605" t="s">
        <v>37</v>
      </c>
      <c r="I17" s="605" t="s">
        <v>38</v>
      </c>
    </row>
    <row r="18" spans="1:9" ht="31.95" customHeight="1" x14ac:dyDescent="0.3">
      <c r="A18" s="606" t="s">
        <v>67</v>
      </c>
      <c r="B18" s="619">
        <v>5</v>
      </c>
      <c r="C18" s="608"/>
      <c r="D18" s="608"/>
      <c r="E18" s="608"/>
      <c r="F18" s="608"/>
      <c r="G18" s="608"/>
      <c r="H18" s="609" t="s">
        <v>68</v>
      </c>
      <c r="I18" s="610" t="s">
        <v>69</v>
      </c>
    </row>
    <row r="19" spans="1:9" ht="31.95" customHeight="1" x14ac:dyDescent="0.3">
      <c r="A19" s="620" t="s">
        <v>70</v>
      </c>
      <c r="B19" s="621">
        <f>'05b_DCF'!C13</f>
        <v>0.04</v>
      </c>
      <c r="C19" s="613"/>
      <c r="D19" s="613"/>
      <c r="E19" s="613"/>
      <c r="F19" s="613"/>
      <c r="G19" s="613"/>
      <c r="H19" s="614" t="s">
        <v>71</v>
      </c>
      <c r="I19" s="615" t="s">
        <v>72</v>
      </c>
    </row>
    <row r="20" spans="1:9" ht="31.95" customHeight="1" x14ac:dyDescent="0.3">
      <c r="A20" s="606" t="s">
        <v>73</v>
      </c>
      <c r="B20" s="622" t="s">
        <v>74</v>
      </c>
      <c r="C20" s="608"/>
      <c r="D20" s="608"/>
      <c r="E20" s="608"/>
      <c r="F20" s="608"/>
      <c r="G20" s="608"/>
      <c r="H20" s="609" t="s">
        <v>75</v>
      </c>
      <c r="I20" s="610" t="s">
        <v>76</v>
      </c>
    </row>
    <row r="21" spans="1:9" ht="31.95" customHeight="1" x14ac:dyDescent="0.3">
      <c r="A21" s="611" t="s">
        <v>77</v>
      </c>
      <c r="B21" s="623">
        <f>'05b_DCF'!C20</f>
        <v>24300</v>
      </c>
      <c r="C21" s="613"/>
      <c r="D21" s="613"/>
      <c r="E21" s="613"/>
      <c r="F21" s="613"/>
      <c r="G21" s="613"/>
      <c r="H21" s="614" t="s">
        <v>78</v>
      </c>
      <c r="I21" s="615" t="s">
        <v>79</v>
      </c>
    </row>
    <row r="22" spans="1:9" ht="31.95" customHeight="1" x14ac:dyDescent="0.3">
      <c r="A22" s="606" t="s">
        <v>80</v>
      </c>
      <c r="B22" s="622" t="s">
        <v>81</v>
      </c>
      <c r="C22" s="608"/>
      <c r="D22" s="608"/>
      <c r="E22" s="608"/>
      <c r="F22" s="608"/>
      <c r="G22" s="608"/>
      <c r="H22" s="609" t="s">
        <v>82</v>
      </c>
      <c r="I22" s="610" t="s">
        <v>83</v>
      </c>
    </row>
    <row r="23" spans="1:9" ht="31.95" customHeight="1" x14ac:dyDescent="0.3">
      <c r="A23" s="611" t="s">
        <v>84</v>
      </c>
      <c r="B23" s="624">
        <v>183.22</v>
      </c>
      <c r="C23" s="613"/>
      <c r="D23" s="613"/>
      <c r="E23" s="613"/>
      <c r="F23" s="613"/>
      <c r="G23" s="613"/>
      <c r="H23" s="614" t="s">
        <v>85</v>
      </c>
      <c r="I23" s="615" t="s">
        <v>86</v>
      </c>
    </row>
    <row r="24" spans="1:9" ht="7.95" customHeight="1" x14ac:dyDescent="0.3"/>
    <row r="25" spans="1:9" ht="22.05" customHeight="1" x14ac:dyDescent="0.3">
      <c r="A25" s="702" t="s">
        <v>87</v>
      </c>
      <c r="B25" s="700"/>
      <c r="C25" s="700"/>
      <c r="D25" s="700"/>
      <c r="E25" s="700"/>
      <c r="F25" s="700"/>
    </row>
    <row r="26" spans="1:9" ht="18" customHeight="1" x14ac:dyDescent="0.3">
      <c r="A26" s="605" t="s">
        <v>30</v>
      </c>
      <c r="B26" s="605" t="s">
        <v>31</v>
      </c>
      <c r="C26" s="605" t="s">
        <v>32</v>
      </c>
      <c r="D26" s="605" t="s">
        <v>33</v>
      </c>
      <c r="E26" s="605" t="s">
        <v>34</v>
      </c>
      <c r="F26" s="605" t="s">
        <v>35</v>
      </c>
      <c r="G26" s="605" t="s">
        <v>36</v>
      </c>
      <c r="H26" s="605" t="s">
        <v>37</v>
      </c>
      <c r="I26" s="605" t="s">
        <v>38</v>
      </c>
    </row>
    <row r="27" spans="1:9" ht="31.95" customHeight="1" x14ac:dyDescent="0.3">
      <c r="A27" s="606" t="s">
        <v>88</v>
      </c>
      <c r="B27" s="625" t="s">
        <v>89</v>
      </c>
      <c r="C27" s="626">
        <v>0.69</v>
      </c>
      <c r="D27" s="626">
        <v>0.42</v>
      </c>
      <c r="E27" s="626">
        <v>0.27</v>
      </c>
      <c r="F27" s="626">
        <v>0.16</v>
      </c>
      <c r="G27" s="626">
        <v>0.22</v>
      </c>
      <c r="H27" s="609" t="s">
        <v>90</v>
      </c>
      <c r="I27" s="610" t="s">
        <v>91</v>
      </c>
    </row>
    <row r="28" spans="1:9" ht="31.95" customHeight="1" x14ac:dyDescent="0.3">
      <c r="A28" s="611" t="s">
        <v>92</v>
      </c>
      <c r="B28" s="627" t="s">
        <v>93</v>
      </c>
      <c r="C28" s="628">
        <v>0.05</v>
      </c>
      <c r="D28" s="628">
        <v>0.03</v>
      </c>
      <c r="E28" s="628">
        <v>0.02</v>
      </c>
      <c r="F28" s="628">
        <v>0.02</v>
      </c>
      <c r="G28" s="628">
        <v>0.03</v>
      </c>
      <c r="H28" s="614" t="s">
        <v>94</v>
      </c>
      <c r="I28" s="615" t="s">
        <v>95</v>
      </c>
    </row>
    <row r="29" spans="1:9" ht="31.95" customHeight="1" x14ac:dyDescent="0.3">
      <c r="A29" s="606" t="s">
        <v>96</v>
      </c>
      <c r="B29" s="625" t="s">
        <v>97</v>
      </c>
      <c r="C29" s="626">
        <v>0.06</v>
      </c>
      <c r="D29" s="626">
        <v>7.0000000000000007E-2</v>
      </c>
      <c r="E29" s="626">
        <v>0.05</v>
      </c>
      <c r="F29" s="626">
        <v>0.04</v>
      </c>
      <c r="G29" s="626">
        <v>0.05</v>
      </c>
      <c r="H29" s="609" t="s">
        <v>98</v>
      </c>
      <c r="I29" s="610" t="s">
        <v>99</v>
      </c>
    </row>
    <row r="30" spans="1:9" ht="31.95" customHeight="1" x14ac:dyDescent="0.3">
      <c r="A30" s="611" t="s">
        <v>100</v>
      </c>
      <c r="B30" s="627" t="s">
        <v>101</v>
      </c>
      <c r="C30" s="628">
        <v>0.45</v>
      </c>
      <c r="D30" s="628">
        <v>0.5</v>
      </c>
      <c r="E30" s="628">
        <v>0.35</v>
      </c>
      <c r="F30" s="628">
        <v>0.26</v>
      </c>
      <c r="G30" s="628">
        <v>0.35</v>
      </c>
      <c r="H30" s="614" t="s">
        <v>102</v>
      </c>
      <c r="I30" s="615" t="s">
        <v>103</v>
      </c>
    </row>
    <row r="31" spans="1:9" ht="31.95" customHeight="1" x14ac:dyDescent="0.3">
      <c r="A31" s="606" t="s">
        <v>104</v>
      </c>
      <c r="B31" s="625" t="s">
        <v>105</v>
      </c>
      <c r="C31" s="626">
        <v>0.02</v>
      </c>
      <c r="D31" s="626">
        <v>0.03</v>
      </c>
      <c r="E31" s="626">
        <v>0.02</v>
      </c>
      <c r="F31" s="626">
        <v>0.02</v>
      </c>
      <c r="G31" s="626">
        <v>0.03</v>
      </c>
      <c r="H31" s="609" t="s">
        <v>106</v>
      </c>
      <c r="I31" s="610" t="s">
        <v>107</v>
      </c>
    </row>
    <row r="32" spans="1:9" ht="31.95" customHeight="1" x14ac:dyDescent="0.3">
      <c r="A32" s="620" t="s">
        <v>108</v>
      </c>
      <c r="B32" s="627" t="s">
        <v>109</v>
      </c>
      <c r="C32" s="628">
        <v>0.62</v>
      </c>
      <c r="D32" s="628">
        <v>0.39</v>
      </c>
      <c r="E32" s="628">
        <v>0.26</v>
      </c>
      <c r="F32" s="628">
        <v>0.16</v>
      </c>
      <c r="G32" s="628">
        <v>0.21</v>
      </c>
      <c r="H32" s="614" t="s">
        <v>110</v>
      </c>
      <c r="I32" s="615" t="s">
        <v>111</v>
      </c>
    </row>
    <row r="33" spans="1:9" ht="7.95" customHeight="1" x14ac:dyDescent="0.3"/>
    <row r="34" spans="1:9" ht="22.05" customHeight="1" x14ac:dyDescent="0.3">
      <c r="A34" s="702" t="s">
        <v>112</v>
      </c>
      <c r="B34" s="700"/>
      <c r="C34" s="700"/>
      <c r="D34" s="700"/>
      <c r="E34" s="700"/>
      <c r="F34" s="700"/>
    </row>
    <row r="35" spans="1:9" ht="18" customHeight="1" x14ac:dyDescent="0.3">
      <c r="A35" s="605" t="s">
        <v>30</v>
      </c>
      <c r="B35" s="605" t="s">
        <v>31</v>
      </c>
      <c r="C35" s="605" t="s">
        <v>32</v>
      </c>
      <c r="D35" s="605" t="s">
        <v>33</v>
      </c>
      <c r="E35" s="605" t="s">
        <v>34</v>
      </c>
      <c r="F35" s="605" t="s">
        <v>35</v>
      </c>
      <c r="G35" s="605" t="s">
        <v>36</v>
      </c>
      <c r="H35" s="605" t="s">
        <v>37</v>
      </c>
      <c r="I35" s="605" t="s">
        <v>38</v>
      </c>
    </row>
    <row r="36" spans="1:9" ht="31.95" customHeight="1" x14ac:dyDescent="0.3">
      <c r="A36" s="606" t="s">
        <v>113</v>
      </c>
      <c r="B36" s="629" t="s">
        <v>114</v>
      </c>
      <c r="C36" s="630">
        <v>0.15</v>
      </c>
      <c r="D36" s="630">
        <v>0.14499999999999999</v>
      </c>
      <c r="E36" s="630">
        <v>0.14499999999999999</v>
      </c>
      <c r="F36" s="630">
        <v>0.14000000000000001</v>
      </c>
      <c r="G36" s="630">
        <v>0.14000000000000001</v>
      </c>
      <c r="H36" s="609" t="s">
        <v>115</v>
      </c>
      <c r="I36" s="610" t="s">
        <v>116</v>
      </c>
    </row>
    <row r="37" spans="1:9" ht="31.95" customHeight="1" x14ac:dyDescent="0.3">
      <c r="A37" s="611" t="s">
        <v>117</v>
      </c>
      <c r="B37" s="627" t="s">
        <v>118</v>
      </c>
      <c r="C37" s="628">
        <v>0.28000000000000003</v>
      </c>
      <c r="D37" s="628">
        <v>0.25</v>
      </c>
      <c r="E37" s="628">
        <v>0.23</v>
      </c>
      <c r="F37" s="628">
        <v>0.22</v>
      </c>
      <c r="G37" s="628">
        <v>0.21</v>
      </c>
      <c r="H37" s="614" t="s">
        <v>119</v>
      </c>
      <c r="I37" s="615" t="s">
        <v>120</v>
      </c>
    </row>
    <row r="38" spans="1:9" ht="31.95" customHeight="1" x14ac:dyDescent="0.3">
      <c r="A38" s="606" t="s">
        <v>121</v>
      </c>
      <c r="B38" s="607" t="s">
        <v>122</v>
      </c>
      <c r="C38" s="631">
        <v>3.4500000000000003E-2</v>
      </c>
      <c r="D38" s="631">
        <v>3.2500000000000001E-2</v>
      </c>
      <c r="E38" s="631">
        <v>3.2500000000000001E-2</v>
      </c>
      <c r="F38" s="631">
        <v>3.1E-2</v>
      </c>
      <c r="G38" s="631">
        <v>3.1E-2</v>
      </c>
      <c r="H38" s="609" t="s">
        <v>123</v>
      </c>
      <c r="I38" s="610" t="s">
        <v>124</v>
      </c>
    </row>
    <row r="39" spans="1:9" ht="7.95" customHeight="1" x14ac:dyDescent="0.3">
      <c r="A39" s="685" t="s">
        <v>125</v>
      </c>
      <c r="B39" s="686" t="s">
        <v>126</v>
      </c>
      <c r="C39" s="687">
        <v>1700</v>
      </c>
      <c r="D39" s="687">
        <v>1000</v>
      </c>
      <c r="E39" s="687">
        <v>1000</v>
      </c>
      <c r="F39" s="687">
        <v>1000</v>
      </c>
      <c r="G39" s="687">
        <v>1000</v>
      </c>
    </row>
    <row r="40" spans="1:9" ht="22.05" customHeight="1" x14ac:dyDescent="0.3">
      <c r="A40" s="702" t="s">
        <v>127</v>
      </c>
      <c r="B40" s="700"/>
      <c r="C40" s="700"/>
      <c r="D40" s="700"/>
      <c r="E40" s="700"/>
      <c r="F40" s="700"/>
    </row>
    <row r="41" spans="1:9" ht="18" customHeight="1" x14ac:dyDescent="0.3">
      <c r="A41" s="605" t="s">
        <v>30</v>
      </c>
      <c r="B41" s="605" t="s">
        <v>31</v>
      </c>
      <c r="C41" s="605" t="s">
        <v>32</v>
      </c>
      <c r="D41" s="605" t="s">
        <v>33</v>
      </c>
      <c r="E41" s="605" t="s">
        <v>34</v>
      </c>
      <c r="F41" s="605" t="s">
        <v>35</v>
      </c>
      <c r="G41" s="605" t="s">
        <v>36</v>
      </c>
      <c r="H41" s="605" t="s">
        <v>37</v>
      </c>
      <c r="I41" s="605" t="s">
        <v>38</v>
      </c>
    </row>
    <row r="42" spans="1:9" ht="31.95" customHeight="1" x14ac:dyDescent="0.3">
      <c r="A42" s="617" t="s">
        <v>128</v>
      </c>
      <c r="B42" s="629" t="s">
        <v>129</v>
      </c>
      <c r="C42" s="630">
        <v>0.03</v>
      </c>
      <c r="D42" s="630">
        <v>3.2000000000000001E-2</v>
      </c>
      <c r="E42" s="630">
        <v>3.3000000000000002E-2</v>
      </c>
      <c r="F42" s="630">
        <v>0.03</v>
      </c>
      <c r="G42" s="630">
        <v>2.8000000000000001E-2</v>
      </c>
      <c r="H42" s="609" t="s">
        <v>130</v>
      </c>
      <c r="I42" s="610" t="s">
        <v>131</v>
      </c>
    </row>
    <row r="43" spans="1:9" ht="31.95" customHeight="1" x14ac:dyDescent="0.3">
      <c r="A43" s="611" t="s">
        <v>132</v>
      </c>
      <c r="B43" s="632">
        <f>'11_DA'!B3</f>
        <v>5</v>
      </c>
      <c r="C43" s="613"/>
      <c r="D43" s="613"/>
      <c r="E43" s="613"/>
      <c r="F43" s="613"/>
      <c r="G43" s="613"/>
      <c r="H43" s="614" t="s">
        <v>133</v>
      </c>
      <c r="I43" s="615" t="s">
        <v>134</v>
      </c>
    </row>
    <row r="44" spans="1:9" ht="31.95" customHeight="1" x14ac:dyDescent="0.3">
      <c r="A44" s="606" t="s">
        <v>135</v>
      </c>
      <c r="B44" s="633">
        <v>3046</v>
      </c>
      <c r="C44" s="634">
        <v>3046</v>
      </c>
      <c r="D44" s="634">
        <v>4817</v>
      </c>
      <c r="E44" s="634">
        <v>6921</v>
      </c>
      <c r="F44" s="634">
        <v>9078</v>
      </c>
      <c r="G44" s="634">
        <v>11117</v>
      </c>
      <c r="H44" s="609" t="s">
        <v>136</v>
      </c>
      <c r="I44" s="610" t="s">
        <v>137</v>
      </c>
    </row>
    <row r="45" spans="1:9" ht="7.95" customHeight="1" x14ac:dyDescent="0.3"/>
    <row r="46" spans="1:9" ht="22.05" customHeight="1" x14ac:dyDescent="0.3">
      <c r="A46" s="702" t="s">
        <v>138</v>
      </c>
      <c r="B46" s="700"/>
      <c r="C46" s="700"/>
      <c r="D46" s="700"/>
      <c r="E46" s="700"/>
      <c r="F46" s="700"/>
    </row>
    <row r="47" spans="1:9" ht="18" customHeight="1" x14ac:dyDescent="0.3">
      <c r="A47" s="605" t="s">
        <v>30</v>
      </c>
      <c r="B47" s="605" t="s">
        <v>31</v>
      </c>
      <c r="C47" s="605" t="s">
        <v>32</v>
      </c>
      <c r="D47" s="605" t="s">
        <v>33</v>
      </c>
      <c r="E47" s="605" t="s">
        <v>34</v>
      </c>
      <c r="F47" s="605" t="s">
        <v>35</v>
      </c>
      <c r="G47" s="605" t="s">
        <v>36</v>
      </c>
      <c r="H47" s="605" t="s">
        <v>37</v>
      </c>
      <c r="I47" s="605" t="s">
        <v>38</v>
      </c>
    </row>
    <row r="48" spans="1:9" ht="31.95" customHeight="1" x14ac:dyDescent="0.3">
      <c r="A48" s="606" t="s">
        <v>139</v>
      </c>
      <c r="B48" s="633">
        <f>'15_WACC'!F14</f>
        <v>8463</v>
      </c>
      <c r="C48" s="608"/>
      <c r="D48" s="608"/>
      <c r="E48" s="608"/>
      <c r="F48" s="608"/>
      <c r="G48" s="608"/>
      <c r="H48" s="609" t="s">
        <v>140</v>
      </c>
      <c r="I48" s="610" t="s">
        <v>141</v>
      </c>
    </row>
    <row r="49" spans="1:9" ht="31.95" customHeight="1" x14ac:dyDescent="0.3">
      <c r="A49" s="611" t="s">
        <v>142</v>
      </c>
      <c r="B49" s="623">
        <v>43210</v>
      </c>
      <c r="C49" s="613"/>
      <c r="D49" s="613"/>
      <c r="E49" s="613"/>
      <c r="F49" s="613"/>
      <c r="G49" s="613"/>
      <c r="H49" s="614" t="s">
        <v>143</v>
      </c>
      <c r="I49" s="615" t="s">
        <v>144</v>
      </c>
    </row>
    <row r="50" spans="1:9" ht="31.95" customHeight="1" x14ac:dyDescent="0.3">
      <c r="A50" s="606" t="s">
        <v>145</v>
      </c>
      <c r="B50" s="633">
        <f>'05b_DCF'!C38</f>
        <v>-32940</v>
      </c>
      <c r="C50" s="608"/>
      <c r="D50" s="608"/>
      <c r="E50" s="608"/>
      <c r="F50" s="608"/>
      <c r="G50" s="608"/>
      <c r="H50" s="609" t="s">
        <v>146</v>
      </c>
      <c r="I50" s="610" t="s">
        <v>147</v>
      </c>
    </row>
    <row r="51" spans="1:9" ht="7.95" customHeight="1" x14ac:dyDescent="0.3"/>
    <row r="52" spans="1:9" ht="28.05" customHeight="1" x14ac:dyDescent="0.3">
      <c r="A52" s="701" t="s">
        <v>148</v>
      </c>
      <c r="B52" s="700"/>
      <c r="C52" s="700"/>
      <c r="D52" s="700"/>
      <c r="E52" s="700"/>
      <c r="F52" s="700"/>
      <c r="G52" s="700"/>
      <c r="H52" s="700"/>
      <c r="I52" s="700"/>
    </row>
  </sheetData>
  <mergeCells count="9">
    <mergeCell ref="A52:I52"/>
    <mergeCell ref="A16:F16"/>
    <mergeCell ref="A2:I2"/>
    <mergeCell ref="A46:F46"/>
    <mergeCell ref="A1:I1"/>
    <mergeCell ref="A34:F34"/>
    <mergeCell ref="A40:F40"/>
    <mergeCell ref="A4:F4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6"/>
  <sheetViews>
    <sheetView showGridLines="0" zoomScale="56" zoomScaleNormal="70" workbookViewId="0"/>
  </sheetViews>
  <sheetFormatPr defaultRowHeight="14.4" x14ac:dyDescent="0.3"/>
  <cols>
    <col min="1" max="1" width="33.33203125" bestFit="1" customWidth="1"/>
    <col min="2" max="4" width="16.6640625" bestFit="1" customWidth="1"/>
    <col min="5" max="5" width="11.6640625" customWidth="1"/>
    <col min="6" max="6" width="13.77734375" customWidth="1"/>
    <col min="7" max="8" width="11.77734375" customWidth="1"/>
    <col min="10" max="10" width="38.88671875" customWidth="1"/>
    <col min="11" max="11" width="22.21875" customWidth="1"/>
    <col min="12" max="12" width="16.33203125" customWidth="1"/>
    <col min="13" max="13" width="17.21875" customWidth="1"/>
    <col min="14" max="15" width="16.77734375" bestFit="1" customWidth="1"/>
    <col min="16" max="16" width="20.109375" customWidth="1"/>
    <col min="18" max="18" width="16.77734375" bestFit="1" customWidth="1"/>
  </cols>
  <sheetData>
    <row r="1" spans="1:18" ht="21" customHeight="1" x14ac:dyDescent="0.3">
      <c r="A1" s="705" t="s">
        <v>149</v>
      </c>
      <c r="B1" s="700"/>
      <c r="C1" s="700"/>
      <c r="D1" s="700"/>
      <c r="E1" s="700"/>
      <c r="F1" s="700"/>
      <c r="G1" s="700"/>
    </row>
    <row r="2" spans="1:18" ht="21" customHeight="1" x14ac:dyDescent="0.3">
      <c r="A2" s="17"/>
      <c r="B2" s="44">
        <v>2020</v>
      </c>
      <c r="C2" s="44">
        <v>2021</v>
      </c>
      <c r="D2" s="44">
        <v>2022</v>
      </c>
      <c r="E2" s="44">
        <v>2023</v>
      </c>
      <c r="F2" s="44">
        <v>2024</v>
      </c>
      <c r="G2" s="44">
        <v>2025</v>
      </c>
      <c r="J2" s="205" t="s">
        <v>150</v>
      </c>
      <c r="K2" s="205"/>
      <c r="L2" s="205"/>
      <c r="M2" s="205"/>
      <c r="N2" s="205"/>
      <c r="O2" s="205"/>
      <c r="P2" s="205"/>
      <c r="R2" s="57"/>
    </row>
    <row r="3" spans="1:18" ht="21" customHeight="1" x14ac:dyDescent="0.4">
      <c r="A3" s="41" t="s">
        <v>151</v>
      </c>
      <c r="B3" s="47">
        <v>10918</v>
      </c>
      <c r="C3" s="47">
        <v>16675</v>
      </c>
      <c r="D3" s="118">
        <v>26914</v>
      </c>
      <c r="E3" s="47">
        <v>26974</v>
      </c>
      <c r="F3" s="120">
        <v>60922</v>
      </c>
      <c r="G3" s="47">
        <v>130497</v>
      </c>
      <c r="J3" s="17"/>
      <c r="K3" s="562">
        <v>2020</v>
      </c>
      <c r="L3" s="562">
        <v>2021</v>
      </c>
      <c r="M3" s="562">
        <v>2022</v>
      </c>
      <c r="N3" s="563">
        <v>2023</v>
      </c>
      <c r="O3" s="563">
        <v>2024</v>
      </c>
      <c r="P3" s="563">
        <v>2025</v>
      </c>
      <c r="R3" s="40"/>
    </row>
    <row r="4" spans="1:18" ht="15.6" customHeight="1" x14ac:dyDescent="0.3">
      <c r="A4" s="42" t="s">
        <v>152</v>
      </c>
      <c r="B4" s="48">
        <v>4150</v>
      </c>
      <c r="C4" s="48">
        <v>6279</v>
      </c>
      <c r="D4" s="118">
        <v>9439</v>
      </c>
      <c r="E4" s="48">
        <v>11618</v>
      </c>
      <c r="F4" s="48">
        <v>16621</v>
      </c>
      <c r="G4" s="48">
        <v>32639</v>
      </c>
      <c r="J4" s="41" t="s">
        <v>151</v>
      </c>
      <c r="K4" s="557">
        <v>1</v>
      </c>
      <c r="L4" s="557">
        <v>1</v>
      </c>
      <c r="M4" s="557">
        <v>1</v>
      </c>
      <c r="N4" s="557">
        <f>E3/E3</f>
        <v>1</v>
      </c>
      <c r="O4" s="557">
        <f>F3/F3</f>
        <v>1</v>
      </c>
      <c r="P4" s="557">
        <f>G3/G3</f>
        <v>1</v>
      </c>
      <c r="R4" s="2"/>
    </row>
    <row r="5" spans="1:18" ht="17.399999999999999" customHeight="1" x14ac:dyDescent="0.35">
      <c r="A5" s="140" t="s">
        <v>153</v>
      </c>
      <c r="B5" s="146">
        <f>B3-B4</f>
        <v>6768</v>
      </c>
      <c r="C5" s="146">
        <f>C3-C4</f>
        <v>10396</v>
      </c>
      <c r="D5" s="146">
        <f>D3-D4</f>
        <v>17475</v>
      </c>
      <c r="E5" s="141">
        <v>15356</v>
      </c>
      <c r="F5" s="141">
        <v>44301</v>
      </c>
      <c r="G5" s="142">
        <v>97858</v>
      </c>
      <c r="H5" s="108"/>
      <c r="J5" s="42" t="s">
        <v>154</v>
      </c>
      <c r="K5" s="558">
        <f t="shared" ref="K5:P5" si="0">B4/B3</f>
        <v>0.38010624656530501</v>
      </c>
      <c r="L5" s="558">
        <f t="shared" si="0"/>
        <v>0.37655172413793103</v>
      </c>
      <c r="M5" s="558">
        <f t="shared" si="0"/>
        <v>0.35070966783086871</v>
      </c>
      <c r="N5" s="558">
        <f t="shared" si="0"/>
        <v>0.43071105509008673</v>
      </c>
      <c r="O5" s="558">
        <f t="shared" si="0"/>
        <v>0.27282426709563046</v>
      </c>
      <c r="P5" s="558">
        <f t="shared" si="0"/>
        <v>0.25011302941830083</v>
      </c>
      <c r="R5" s="23"/>
    </row>
    <row r="6" spans="1:18" ht="15.6" customHeight="1" x14ac:dyDescent="0.3">
      <c r="A6" s="143"/>
      <c r="B6" s="144">
        <v>0</v>
      </c>
      <c r="C6" s="144">
        <f>(C5/B5)-1</f>
        <v>0.53605200945626486</v>
      </c>
      <c r="D6" s="144">
        <f>(D5/C5)-1</f>
        <v>0.68093497499038103</v>
      </c>
      <c r="E6" s="144">
        <f>(E5/D5)-1</f>
        <v>-0.12125894134477821</v>
      </c>
      <c r="F6" s="144">
        <f>(F5/E5)-1</f>
        <v>1.8849309716071896</v>
      </c>
      <c r="G6" s="144">
        <f>(G5/F5)-1</f>
        <v>1.208934335568046</v>
      </c>
      <c r="J6" s="42"/>
      <c r="K6" s="558"/>
      <c r="L6" s="558"/>
      <c r="M6" s="558"/>
      <c r="N6" s="558"/>
      <c r="O6" s="558"/>
      <c r="P6" s="558"/>
      <c r="R6" s="23"/>
    </row>
    <row r="7" spans="1:18" ht="15.6" customHeight="1" x14ac:dyDescent="0.3">
      <c r="A7" s="43" t="s">
        <v>155</v>
      </c>
      <c r="B7" s="118"/>
      <c r="C7" s="119"/>
      <c r="D7" s="118"/>
      <c r="E7" s="48"/>
      <c r="F7" s="48"/>
      <c r="G7" s="48"/>
      <c r="J7" s="564" t="s">
        <v>153</v>
      </c>
      <c r="K7" s="565">
        <f t="shared" ref="K7:P7" si="1">B5/B3</f>
        <v>0.61989375343469499</v>
      </c>
      <c r="L7" s="565">
        <f t="shared" si="1"/>
        <v>0.62344827586206897</v>
      </c>
      <c r="M7" s="565">
        <f t="shared" si="1"/>
        <v>0.64929033216913135</v>
      </c>
      <c r="N7" s="565">
        <f t="shared" si="1"/>
        <v>0.56928894490991322</v>
      </c>
      <c r="O7" s="565">
        <f t="shared" si="1"/>
        <v>0.72717573290436954</v>
      </c>
      <c r="P7" s="565">
        <f t="shared" si="1"/>
        <v>0.74988697058169917</v>
      </c>
      <c r="R7" s="23"/>
    </row>
    <row r="8" spans="1:18" s="1" customFormat="1" ht="15.6" customHeight="1" x14ac:dyDescent="0.3">
      <c r="A8" s="41" t="s">
        <v>156</v>
      </c>
      <c r="B8" s="118">
        <f>'10_GrowthRates'!I6</f>
        <v>2829</v>
      </c>
      <c r="C8" s="118">
        <f>'10_GrowthRates'!J6</f>
        <v>3924</v>
      </c>
      <c r="D8" s="118">
        <f>'10_GrowthRates'!K6</f>
        <v>5268</v>
      </c>
      <c r="E8" s="47">
        <v>7339</v>
      </c>
      <c r="F8" s="47">
        <v>8675</v>
      </c>
      <c r="G8" s="47">
        <v>12914</v>
      </c>
      <c r="J8" s="43" t="s">
        <v>155</v>
      </c>
      <c r="K8" s="559"/>
      <c r="L8" s="559"/>
      <c r="M8" s="559"/>
      <c r="N8" s="558"/>
      <c r="O8" s="558"/>
      <c r="P8" s="558"/>
      <c r="R8" s="55"/>
    </row>
    <row r="9" spans="1:18" ht="15.6" customHeight="1" x14ac:dyDescent="0.3">
      <c r="A9" s="42" t="s">
        <v>157</v>
      </c>
      <c r="B9" s="118">
        <v>1093</v>
      </c>
      <c r="C9" s="48">
        <v>1940</v>
      </c>
      <c r="D9" s="118">
        <v>2166</v>
      </c>
      <c r="E9" s="48">
        <v>2440</v>
      </c>
      <c r="F9" s="48">
        <v>2654</v>
      </c>
      <c r="G9" s="48">
        <v>3491</v>
      </c>
      <c r="J9" s="41" t="s">
        <v>156</v>
      </c>
      <c r="K9" s="557">
        <f t="shared" ref="K9:P9" si="2">B8/B3</f>
        <v>0.25911339073090311</v>
      </c>
      <c r="L9" s="557">
        <f t="shared" si="2"/>
        <v>0.2353223388305847</v>
      </c>
      <c r="M9" s="557">
        <f t="shared" si="2"/>
        <v>0.19573456193802483</v>
      </c>
      <c r="N9" s="557">
        <f t="shared" si="2"/>
        <v>0.27207681471046191</v>
      </c>
      <c r="O9" s="557">
        <f t="shared" si="2"/>
        <v>0.14239519385443683</v>
      </c>
      <c r="P9" s="557">
        <f t="shared" si="2"/>
        <v>9.8960129351632606E-2</v>
      </c>
      <c r="R9" s="23"/>
    </row>
    <row r="10" spans="1:18" ht="15.6" customHeight="1" x14ac:dyDescent="0.3">
      <c r="A10" s="41" t="s">
        <v>158</v>
      </c>
      <c r="B10" s="118">
        <v>0</v>
      </c>
      <c r="C10" s="118">
        <v>0</v>
      </c>
      <c r="D10" s="118">
        <v>0</v>
      </c>
      <c r="E10" s="47">
        <v>1353</v>
      </c>
      <c r="F10" s="47">
        <v>0</v>
      </c>
      <c r="G10" s="47">
        <v>0</v>
      </c>
      <c r="J10" s="42" t="s">
        <v>157</v>
      </c>
      <c r="K10" s="558">
        <f t="shared" ref="K10:P10" si="3">B9/B3</f>
        <v>0.10010991023997069</v>
      </c>
      <c r="L10" s="558">
        <f t="shared" si="3"/>
        <v>0.11634182908545727</v>
      </c>
      <c r="M10" s="558">
        <f t="shared" si="3"/>
        <v>8.0478561343538674E-2</v>
      </c>
      <c r="N10" s="558">
        <f t="shared" si="3"/>
        <v>9.0457477570994288E-2</v>
      </c>
      <c r="O10" s="558">
        <f t="shared" si="3"/>
        <v>4.3563901382095135E-2</v>
      </c>
      <c r="P10" s="558">
        <f t="shared" si="3"/>
        <v>2.6751572833091947E-2</v>
      </c>
      <c r="R10" s="24"/>
    </row>
    <row r="11" spans="1:18" s="1" customFormat="1" ht="16.8" customHeight="1" x14ac:dyDescent="0.3">
      <c r="A11" s="6" t="s">
        <v>159</v>
      </c>
      <c r="B11" s="49">
        <v>3922</v>
      </c>
      <c r="C11" s="49">
        <v>5864</v>
      </c>
      <c r="D11" s="49">
        <v>7434</v>
      </c>
      <c r="E11" s="49">
        <v>11132</v>
      </c>
      <c r="F11" s="49">
        <v>11329</v>
      </c>
      <c r="G11" s="49">
        <v>16405</v>
      </c>
      <c r="J11" s="41" t="s">
        <v>158</v>
      </c>
      <c r="K11" s="557">
        <f>IFERROR((B10/B3), " _ ")</f>
        <v>0</v>
      </c>
      <c r="L11" s="557">
        <f>IFERROR((C10/C3), " _ ")</f>
        <v>0</v>
      </c>
      <c r="M11" s="557">
        <f>IFERROR((D10/D3), " _ ")</f>
        <v>0</v>
      </c>
      <c r="N11" s="557">
        <f>IFERROR(E10/E3,"_")</f>
        <v>5.015941276785052E-2</v>
      </c>
      <c r="O11" s="557">
        <f>IFERROR(F10/F3,"_")</f>
        <v>0</v>
      </c>
      <c r="P11" s="557">
        <f>IFERROR(G10/G3,"_")</f>
        <v>0</v>
      </c>
      <c r="R11" s="56"/>
    </row>
    <row r="12" spans="1:18" s="1" customFormat="1" ht="18" customHeight="1" x14ac:dyDescent="0.3">
      <c r="A12" s="46" t="s">
        <v>160</v>
      </c>
      <c r="B12" s="86">
        <f>B5-B11</f>
        <v>2846</v>
      </c>
      <c r="C12" s="86">
        <f>C5-C11</f>
        <v>4532</v>
      </c>
      <c r="D12" s="86">
        <f>D5-D11</f>
        <v>10041</v>
      </c>
      <c r="E12" s="50">
        <v>4224</v>
      </c>
      <c r="F12" s="50">
        <v>32972</v>
      </c>
      <c r="G12" s="50">
        <v>81453</v>
      </c>
      <c r="J12" s="6" t="s">
        <v>159</v>
      </c>
      <c r="K12" s="560">
        <f t="shared" ref="K12:P12" si="4">B11/B3</f>
        <v>0.35922330097087379</v>
      </c>
      <c r="L12" s="560">
        <f t="shared" si="4"/>
        <v>0.35166416791604199</v>
      </c>
      <c r="M12" s="560">
        <f t="shared" si="4"/>
        <v>0.2762131232815635</v>
      </c>
      <c r="N12" s="560">
        <f t="shared" si="4"/>
        <v>0.41269370504930675</v>
      </c>
      <c r="O12" s="560">
        <f t="shared" si="4"/>
        <v>0.18595909523653195</v>
      </c>
      <c r="P12" s="560">
        <f t="shared" si="4"/>
        <v>0.12571170218472455</v>
      </c>
      <c r="R12" s="55"/>
    </row>
    <row r="13" spans="1:18" ht="15.6" customHeight="1" x14ac:dyDescent="0.3">
      <c r="A13" t="s">
        <v>0</v>
      </c>
      <c r="B13" s="33">
        <v>381</v>
      </c>
      <c r="C13" s="33">
        <v>1098</v>
      </c>
      <c r="D13" s="33">
        <v>1174</v>
      </c>
      <c r="E13" s="33">
        <f>'03_Historical_CF'!B7</f>
        <v>1544</v>
      </c>
      <c r="F13" s="33">
        <f>'03_Historical_CF'!C7</f>
        <v>1508</v>
      </c>
      <c r="G13" s="33">
        <f>'03_Historical_CF'!D7</f>
        <v>1864</v>
      </c>
      <c r="J13" s="333" t="s">
        <v>161</v>
      </c>
      <c r="K13" s="566">
        <f t="shared" ref="K13:P13" si="5">B12/B3</f>
        <v>0.2606704524638212</v>
      </c>
      <c r="L13" s="566">
        <f t="shared" si="5"/>
        <v>0.27178410794602698</v>
      </c>
      <c r="M13" s="566">
        <f t="shared" si="5"/>
        <v>0.37307720888756779</v>
      </c>
      <c r="N13" s="566">
        <f t="shared" si="5"/>
        <v>0.1565952398606065</v>
      </c>
      <c r="O13" s="566">
        <f t="shared" si="5"/>
        <v>0.54121663766783756</v>
      </c>
      <c r="P13" s="566">
        <f t="shared" si="5"/>
        <v>0.62417526839697468</v>
      </c>
      <c r="R13" s="23"/>
    </row>
    <row r="14" spans="1:18" ht="15.6" customHeight="1" x14ac:dyDescent="0.3">
      <c r="A14" s="1" t="s">
        <v>162</v>
      </c>
      <c r="B14" s="181">
        <f t="shared" ref="B14:G14" si="6">B12+B13</f>
        <v>3227</v>
      </c>
      <c r="C14" s="181">
        <f t="shared" si="6"/>
        <v>5630</v>
      </c>
      <c r="D14" s="181">
        <f t="shared" si="6"/>
        <v>11215</v>
      </c>
      <c r="E14" s="181">
        <f t="shared" si="6"/>
        <v>5768</v>
      </c>
      <c r="F14" s="181">
        <f t="shared" si="6"/>
        <v>34480</v>
      </c>
      <c r="G14" s="181">
        <f t="shared" si="6"/>
        <v>83317</v>
      </c>
      <c r="J14" s="4" t="str">
        <f>A13</f>
        <v>D&amp;A</v>
      </c>
      <c r="K14" s="274">
        <f t="shared" ref="K14:P14" si="7">B13/B3</f>
        <v>3.4896501190694269E-2</v>
      </c>
      <c r="L14" s="274">
        <f t="shared" si="7"/>
        <v>6.5847076461769113E-2</v>
      </c>
      <c r="M14" s="274">
        <f t="shared" si="7"/>
        <v>4.362042059894479E-2</v>
      </c>
      <c r="N14" s="274">
        <f t="shared" si="7"/>
        <v>5.7240305479350488E-2</v>
      </c>
      <c r="O14" s="274">
        <f t="shared" si="7"/>
        <v>2.4752962804898065E-2</v>
      </c>
      <c r="P14" s="274">
        <f t="shared" si="7"/>
        <v>1.4283853268657517E-2</v>
      </c>
      <c r="R14" s="24"/>
    </row>
    <row r="15" spans="1:18" ht="15.6" customHeight="1" x14ac:dyDescent="0.3">
      <c r="A15" s="42" t="s">
        <v>163</v>
      </c>
      <c r="B15" s="105">
        <v>178</v>
      </c>
      <c r="C15" s="83">
        <v>57</v>
      </c>
      <c r="D15" s="105">
        <v>29</v>
      </c>
      <c r="E15" s="48">
        <v>267</v>
      </c>
      <c r="F15" s="48">
        <v>866</v>
      </c>
      <c r="G15" s="48">
        <v>1786</v>
      </c>
      <c r="J15" s="31" t="str">
        <f>A14</f>
        <v>EBITDA</v>
      </c>
      <c r="K15" s="567">
        <f t="shared" ref="K15:P15" si="8">B14/B3</f>
        <v>0.29556695365451546</v>
      </c>
      <c r="L15" s="567">
        <f t="shared" si="8"/>
        <v>0.3376311844077961</v>
      </c>
      <c r="M15" s="567">
        <f t="shared" si="8"/>
        <v>0.41669762948651262</v>
      </c>
      <c r="N15" s="567">
        <f t="shared" si="8"/>
        <v>0.21383554533995699</v>
      </c>
      <c r="O15" s="567">
        <f t="shared" si="8"/>
        <v>0.56596960047273559</v>
      </c>
      <c r="P15" s="567">
        <f t="shared" si="8"/>
        <v>0.63845912166563212</v>
      </c>
      <c r="R15" s="23"/>
    </row>
    <row r="16" spans="1:18" s="1" customFormat="1" ht="15.6" customHeight="1" x14ac:dyDescent="0.3">
      <c r="A16" s="41" t="s">
        <v>164</v>
      </c>
      <c r="B16" s="105">
        <v>-52</v>
      </c>
      <c r="C16" s="85">
        <v>-184</v>
      </c>
      <c r="D16" s="105">
        <v>-236</v>
      </c>
      <c r="E16" s="47">
        <v>-262</v>
      </c>
      <c r="F16" s="47">
        <v>-257</v>
      </c>
      <c r="G16" s="47">
        <v>-247</v>
      </c>
      <c r="J16" s="42" t="s">
        <v>163</v>
      </c>
      <c r="K16" s="558">
        <f t="shared" ref="K16:P16" si="9">B15/B3</f>
        <v>1.6303352262319108E-2</v>
      </c>
      <c r="L16" s="558">
        <f t="shared" si="9"/>
        <v>3.4182908545727139E-3</v>
      </c>
      <c r="M16" s="558">
        <f t="shared" si="9"/>
        <v>1.0775061306383296E-3</v>
      </c>
      <c r="N16" s="558">
        <f t="shared" si="9"/>
        <v>9.8984207014161784E-3</v>
      </c>
      <c r="O16" s="558">
        <f t="shared" si="9"/>
        <v>1.421489773809133E-2</v>
      </c>
      <c r="P16" s="558">
        <f t="shared" si="9"/>
        <v>1.3686138378660046E-2</v>
      </c>
      <c r="R16" s="55"/>
    </row>
    <row r="17" spans="1:18" ht="18.600000000000001" customHeight="1" x14ac:dyDescent="0.3">
      <c r="A17" s="42" t="s">
        <v>165</v>
      </c>
      <c r="B17" s="105">
        <v>-2</v>
      </c>
      <c r="C17" s="83">
        <v>4</v>
      </c>
      <c r="D17" s="105">
        <v>107</v>
      </c>
      <c r="E17" s="48">
        <v>-48</v>
      </c>
      <c r="F17" s="48">
        <v>237</v>
      </c>
      <c r="G17" s="48">
        <v>1034</v>
      </c>
      <c r="J17" s="41" t="s">
        <v>164</v>
      </c>
      <c r="K17" s="557">
        <f t="shared" ref="K17:P17" si="10">B16/B3</f>
        <v>-4.7627770653965928E-3</v>
      </c>
      <c r="L17" s="557">
        <f t="shared" si="10"/>
        <v>-1.1034482758620689E-2</v>
      </c>
      <c r="M17" s="557">
        <f t="shared" si="10"/>
        <v>-8.7686705803670956E-3</v>
      </c>
      <c r="N17" s="557">
        <f t="shared" si="10"/>
        <v>-9.7130570178690593E-3</v>
      </c>
      <c r="O17" s="557">
        <f t="shared" si="10"/>
        <v>-4.2185089130363411E-3</v>
      </c>
      <c r="P17" s="557">
        <f t="shared" si="10"/>
        <v>-1.8927638183253255E-3</v>
      </c>
      <c r="R17" s="23"/>
    </row>
    <row r="18" spans="1:18" ht="15.6" customHeight="1" x14ac:dyDescent="0.3">
      <c r="A18" s="46" t="s">
        <v>166</v>
      </c>
      <c r="B18" s="86">
        <f>SUM(B15:B17)</f>
        <v>124</v>
      </c>
      <c r="C18" s="86">
        <f>SUM(C15:C17)</f>
        <v>-123</v>
      </c>
      <c r="D18" s="86">
        <f>SUM(D15:D17)</f>
        <v>-100</v>
      </c>
      <c r="E18" s="50">
        <v>-43</v>
      </c>
      <c r="F18" s="50">
        <v>846</v>
      </c>
      <c r="G18" s="50">
        <v>2573</v>
      </c>
      <c r="J18" s="42" t="s">
        <v>165</v>
      </c>
      <c r="K18" s="558">
        <f t="shared" ref="K18:P18" si="11">B17/B3</f>
        <v>-1.8318373328448433E-4</v>
      </c>
      <c r="L18" s="558">
        <f t="shared" si="11"/>
        <v>2.39880059970015E-4</v>
      </c>
      <c r="M18" s="558">
        <f t="shared" si="11"/>
        <v>3.9756260682172846E-3</v>
      </c>
      <c r="N18" s="558">
        <f t="shared" si="11"/>
        <v>-1.7794913620523467E-3</v>
      </c>
      <c r="O18" s="558">
        <f t="shared" si="11"/>
        <v>3.8902202816716459E-3</v>
      </c>
      <c r="P18" s="558">
        <f t="shared" si="11"/>
        <v>7.923553798171605E-3</v>
      </c>
      <c r="R18" s="24"/>
    </row>
    <row r="19" spans="1:18" ht="20.399999999999999" customHeight="1" x14ac:dyDescent="0.3">
      <c r="A19" s="31" t="s">
        <v>167</v>
      </c>
      <c r="B19" s="117">
        <v>2970</v>
      </c>
      <c r="C19" s="117">
        <v>4409</v>
      </c>
      <c r="D19" s="117">
        <v>9941</v>
      </c>
      <c r="E19" s="145">
        <v>4181</v>
      </c>
      <c r="F19" s="145">
        <v>33818</v>
      </c>
      <c r="G19" s="145">
        <v>84026</v>
      </c>
      <c r="J19" s="46" t="s">
        <v>166</v>
      </c>
      <c r="K19" s="561">
        <f t="shared" ref="K19:P19" si="12">B18/B3</f>
        <v>1.1357391463638029E-2</v>
      </c>
      <c r="L19" s="561">
        <f t="shared" si="12"/>
        <v>-7.3763118440779612E-3</v>
      </c>
      <c r="M19" s="561">
        <f t="shared" si="12"/>
        <v>-3.7155383815114808E-3</v>
      </c>
      <c r="N19" s="561">
        <f t="shared" si="12"/>
        <v>-1.5941276785052274E-3</v>
      </c>
      <c r="O19" s="561">
        <f t="shared" si="12"/>
        <v>1.3886609106726634E-2</v>
      </c>
      <c r="P19" s="561">
        <f t="shared" si="12"/>
        <v>1.9716928358506327E-2</v>
      </c>
      <c r="R19" s="23"/>
    </row>
    <row r="20" spans="1:18" ht="15.6" customHeight="1" x14ac:dyDescent="0.3">
      <c r="A20" s="41" t="s">
        <v>168</v>
      </c>
      <c r="B20" s="105">
        <v>174</v>
      </c>
      <c r="C20" s="85">
        <v>77</v>
      </c>
      <c r="D20" s="105">
        <v>189</v>
      </c>
      <c r="E20" s="47">
        <v>-187</v>
      </c>
      <c r="F20" s="47">
        <v>4058</v>
      </c>
      <c r="G20" s="47">
        <v>11146</v>
      </c>
      <c r="J20" s="31" t="s">
        <v>169</v>
      </c>
      <c r="K20" s="567">
        <f t="shared" ref="K20:P20" si="13">B19/B3</f>
        <v>0.27202784392745927</v>
      </c>
      <c r="L20" s="567">
        <f t="shared" si="13"/>
        <v>0.26440779610194903</v>
      </c>
      <c r="M20" s="567">
        <f t="shared" si="13"/>
        <v>0.36936167050605634</v>
      </c>
      <c r="N20" s="567">
        <f t="shared" si="13"/>
        <v>0.15500111218210127</v>
      </c>
      <c r="O20" s="567">
        <f t="shared" si="13"/>
        <v>0.55510324677456424</v>
      </c>
      <c r="P20" s="567">
        <f t="shared" si="13"/>
        <v>0.64389219675548093</v>
      </c>
      <c r="R20" s="24"/>
    </row>
    <row r="21" spans="1:18" ht="15.6" customHeight="1" x14ac:dyDescent="0.3">
      <c r="A21" s="30" t="s">
        <v>170</v>
      </c>
      <c r="B21" s="259">
        <v>2796</v>
      </c>
      <c r="C21" s="259">
        <v>4332</v>
      </c>
      <c r="D21" s="259">
        <v>9752</v>
      </c>
      <c r="E21" s="100">
        <v>4368</v>
      </c>
      <c r="F21" s="100">
        <v>29760</v>
      </c>
      <c r="G21" s="100">
        <v>72880</v>
      </c>
      <c r="J21" s="41" t="s">
        <v>168</v>
      </c>
      <c r="K21" s="557">
        <f t="shared" ref="K21:P21" si="14">B20/B3</f>
        <v>1.5936984795750137E-2</v>
      </c>
      <c r="L21" s="557">
        <f t="shared" si="14"/>
        <v>4.6176911544227889E-3</v>
      </c>
      <c r="M21" s="557">
        <f t="shared" si="14"/>
        <v>7.0223675410566993E-3</v>
      </c>
      <c r="N21" s="557">
        <f t="shared" si="14"/>
        <v>-6.9326017646622676E-3</v>
      </c>
      <c r="O21" s="557">
        <f t="shared" si="14"/>
        <v>6.6609763303896785E-2</v>
      </c>
      <c r="P21" s="557">
        <f t="shared" si="14"/>
        <v>8.5411925178356593E-2</v>
      </c>
      <c r="R21" s="56"/>
    </row>
    <row r="22" spans="1:18" ht="18" customHeight="1" x14ac:dyDescent="0.3">
      <c r="J22" s="30" t="s">
        <v>170</v>
      </c>
      <c r="K22" s="568">
        <f t="shared" ref="K22:P22" si="15">B21/B3</f>
        <v>0.25609085913170909</v>
      </c>
      <c r="L22" s="568">
        <f t="shared" si="15"/>
        <v>0.25979010494752625</v>
      </c>
      <c r="M22" s="568">
        <f t="shared" si="15"/>
        <v>0.36233930296499961</v>
      </c>
      <c r="N22" s="569">
        <f t="shared" si="15"/>
        <v>0.16193371394676356</v>
      </c>
      <c r="O22" s="569">
        <f t="shared" si="15"/>
        <v>0.4884934834706674</v>
      </c>
      <c r="P22" s="569">
        <f t="shared" si="15"/>
        <v>0.55848027157712443</v>
      </c>
    </row>
    <row r="23" spans="1:18" ht="18" customHeight="1" x14ac:dyDescent="0.3"/>
    <row r="24" spans="1:18" ht="18" customHeight="1" x14ac:dyDescent="0.35">
      <c r="N24" s="329"/>
      <c r="O24" s="329"/>
      <c r="P24" s="328"/>
      <c r="R24" s="33"/>
    </row>
    <row r="25" spans="1:18" ht="15.6" customHeight="1" x14ac:dyDescent="0.3">
      <c r="A25" s="29"/>
      <c r="B25" s="30">
        <v>2025</v>
      </c>
      <c r="C25" s="30">
        <v>2024</v>
      </c>
      <c r="D25" s="30">
        <v>2023</v>
      </c>
      <c r="N25" s="47"/>
      <c r="O25" s="47"/>
      <c r="P25" s="41"/>
      <c r="R25" s="33"/>
    </row>
    <row r="26" spans="1:18" x14ac:dyDescent="0.3">
      <c r="A26" s="27" t="s">
        <v>171</v>
      </c>
      <c r="B26" s="115">
        <v>115186</v>
      </c>
      <c r="C26" s="115">
        <v>47525</v>
      </c>
      <c r="D26" s="115">
        <v>15005</v>
      </c>
      <c r="E26" s="25"/>
      <c r="F26" s="25"/>
      <c r="N26" s="39"/>
      <c r="O26" s="39"/>
      <c r="P26" s="28"/>
      <c r="R26" s="33"/>
    </row>
    <row r="27" spans="1:18" ht="15.6" customHeight="1" x14ac:dyDescent="0.3">
      <c r="A27" s="28" t="s">
        <v>172</v>
      </c>
      <c r="B27" s="116">
        <v>102196</v>
      </c>
      <c r="C27" s="116">
        <v>38950</v>
      </c>
      <c r="D27" s="116">
        <v>11317</v>
      </c>
      <c r="E27" s="26"/>
      <c r="F27" s="26"/>
      <c r="N27" s="47"/>
      <c r="O27" s="47"/>
      <c r="P27" s="41"/>
    </row>
    <row r="28" spans="1:18" x14ac:dyDescent="0.3">
      <c r="A28" s="27" t="s">
        <v>173</v>
      </c>
      <c r="B28" s="115">
        <v>12990</v>
      </c>
      <c r="C28" s="115">
        <v>8575</v>
      </c>
      <c r="D28" s="115">
        <v>3688</v>
      </c>
      <c r="E28" s="25"/>
      <c r="F28" s="18"/>
      <c r="N28" s="39"/>
      <c r="O28" s="39"/>
      <c r="P28" s="28"/>
    </row>
    <row r="29" spans="1:18" x14ac:dyDescent="0.3">
      <c r="A29" s="28" t="s">
        <v>174</v>
      </c>
      <c r="B29" s="116">
        <v>11350</v>
      </c>
      <c r="C29" s="116">
        <v>10447</v>
      </c>
      <c r="D29" s="116">
        <v>9067</v>
      </c>
      <c r="E29" s="26"/>
      <c r="F29" s="19"/>
      <c r="N29" s="116"/>
      <c r="O29" s="116"/>
      <c r="P29" s="16"/>
    </row>
    <row r="30" spans="1:18" x14ac:dyDescent="0.3">
      <c r="A30" s="27" t="s">
        <v>175</v>
      </c>
      <c r="B30" s="115">
        <v>1878</v>
      </c>
      <c r="C30" s="115">
        <v>1553</v>
      </c>
      <c r="D30" s="115">
        <v>1544</v>
      </c>
      <c r="E30" s="25"/>
      <c r="F30" s="18"/>
      <c r="N30" s="39"/>
      <c r="O30" s="39"/>
      <c r="P30" s="28"/>
    </row>
    <row r="31" spans="1:18" x14ac:dyDescent="0.3">
      <c r="A31" s="28" t="s">
        <v>176</v>
      </c>
      <c r="B31" s="116">
        <v>1694</v>
      </c>
      <c r="C31" s="116">
        <v>1091</v>
      </c>
      <c r="D31" s="116">
        <v>903</v>
      </c>
      <c r="E31" s="26"/>
      <c r="F31" s="19"/>
      <c r="N31" s="39"/>
      <c r="O31" s="39"/>
      <c r="P31" s="2"/>
    </row>
    <row r="32" spans="1:18" x14ac:dyDescent="0.3">
      <c r="A32" s="27" t="s">
        <v>177</v>
      </c>
      <c r="B32" s="115">
        <v>389</v>
      </c>
      <c r="C32" s="115">
        <v>306</v>
      </c>
      <c r="D32" s="115">
        <v>455</v>
      </c>
      <c r="E32" s="25"/>
      <c r="F32" s="18"/>
      <c r="N32" s="37"/>
      <c r="O32" s="37"/>
      <c r="P32" s="16"/>
    </row>
    <row r="33" spans="1:19" ht="15.6" customHeight="1" x14ac:dyDescent="0.3">
      <c r="A33" s="31" t="s">
        <v>178</v>
      </c>
      <c r="B33" s="117">
        <v>130497</v>
      </c>
      <c r="C33" s="117">
        <v>60922</v>
      </c>
      <c r="D33" s="117">
        <v>26974</v>
      </c>
      <c r="E33" s="26"/>
      <c r="F33" s="19"/>
      <c r="N33" s="36"/>
      <c r="O33" s="36"/>
      <c r="P33" s="40"/>
    </row>
    <row r="34" spans="1:19" x14ac:dyDescent="0.3">
      <c r="R34" s="21"/>
      <c r="S34" s="21"/>
    </row>
    <row r="35" spans="1:19" x14ac:dyDescent="0.3">
      <c r="N35" s="16"/>
      <c r="O35" s="16"/>
      <c r="P35" s="16"/>
      <c r="R35" s="16"/>
      <c r="S35" s="16"/>
    </row>
    <row r="36" spans="1:19" ht="15.6" customHeight="1" x14ac:dyDescent="0.3">
      <c r="A36" s="29"/>
      <c r="B36" s="30">
        <v>2025</v>
      </c>
      <c r="C36" s="30">
        <v>2024</v>
      </c>
      <c r="D36" s="30">
        <v>2023</v>
      </c>
      <c r="N36" s="16"/>
      <c r="O36" s="16"/>
      <c r="P36" s="16"/>
      <c r="R36" s="16"/>
      <c r="S36" s="16"/>
    </row>
    <row r="37" spans="1:19" ht="23.4" customHeight="1" x14ac:dyDescent="0.45">
      <c r="A37" s="27" t="s">
        <v>179</v>
      </c>
      <c r="B37" s="115">
        <v>61257</v>
      </c>
      <c r="C37" s="115">
        <v>26966</v>
      </c>
      <c r="D37" s="115">
        <v>8292</v>
      </c>
      <c r="F37" s="15"/>
      <c r="N37" s="555"/>
      <c r="O37" s="554"/>
      <c r="P37" s="553"/>
      <c r="R37" s="16"/>
      <c r="S37" s="16"/>
    </row>
    <row r="38" spans="1:19" x14ac:dyDescent="0.3">
      <c r="A38" s="28" t="s">
        <v>180</v>
      </c>
      <c r="B38" s="116">
        <v>23684</v>
      </c>
      <c r="C38" s="116">
        <v>6831</v>
      </c>
      <c r="D38" s="116">
        <v>2288</v>
      </c>
      <c r="F38" s="16"/>
      <c r="N38" s="26"/>
      <c r="O38" s="26"/>
      <c r="P38" s="556"/>
      <c r="R38" s="16"/>
      <c r="S38" s="16"/>
    </row>
    <row r="39" spans="1:19" x14ac:dyDescent="0.3">
      <c r="A39" s="27" t="s">
        <v>181</v>
      </c>
      <c r="B39" s="115">
        <v>20573</v>
      </c>
      <c r="C39" s="115">
        <v>13405</v>
      </c>
      <c r="D39" s="115">
        <v>6986</v>
      </c>
      <c r="F39" s="20"/>
      <c r="N39" s="26"/>
      <c r="O39" s="26"/>
      <c r="P39" s="556"/>
      <c r="R39" s="16"/>
      <c r="S39" s="16"/>
    </row>
    <row r="40" spans="1:19" x14ac:dyDescent="0.3">
      <c r="A40" s="28" t="s">
        <v>182</v>
      </c>
      <c r="B40" s="116">
        <v>17108</v>
      </c>
      <c r="C40" s="116">
        <v>10306</v>
      </c>
      <c r="D40" s="116">
        <v>5785</v>
      </c>
      <c r="F40" s="21"/>
      <c r="N40" s="14"/>
      <c r="O40" s="14"/>
      <c r="P40" s="32"/>
    </row>
    <row r="41" spans="1:19" x14ac:dyDescent="0.3">
      <c r="A41" s="27" t="s">
        <v>183</v>
      </c>
      <c r="B41" s="115">
        <v>7875</v>
      </c>
      <c r="C41" s="115">
        <v>3414</v>
      </c>
      <c r="D41" s="115">
        <v>3623</v>
      </c>
      <c r="F41" s="20"/>
      <c r="N41" s="14"/>
      <c r="O41" s="14"/>
      <c r="P41" s="32"/>
    </row>
    <row r="42" spans="1:19" ht="15.6" customHeight="1" x14ac:dyDescent="0.3">
      <c r="A42" s="31" t="s">
        <v>178</v>
      </c>
      <c r="B42" s="117">
        <v>130497</v>
      </c>
      <c r="C42" s="117">
        <v>60922</v>
      </c>
      <c r="D42" s="117">
        <v>26974</v>
      </c>
      <c r="F42" s="21"/>
      <c r="N42" s="14"/>
      <c r="O42" s="14"/>
      <c r="P42" s="32"/>
    </row>
    <row r="50" spans="1:19" ht="15.6" customHeight="1" x14ac:dyDescent="0.3">
      <c r="A50" s="32"/>
      <c r="B50" s="37"/>
      <c r="C50" s="37"/>
      <c r="D50" s="37"/>
      <c r="E50" s="4" t="s">
        <v>184</v>
      </c>
      <c r="F50" s="4"/>
      <c r="G50" s="5">
        <v>2025</v>
      </c>
      <c r="H50" s="5">
        <v>2024</v>
      </c>
      <c r="I50" s="5">
        <v>2023</v>
      </c>
      <c r="N50" s="5"/>
      <c r="O50" s="5"/>
      <c r="R50" s="5"/>
      <c r="S50" s="5"/>
    </row>
    <row r="51" spans="1:19" ht="15.6" customHeight="1" x14ac:dyDescent="0.3">
      <c r="A51" s="51"/>
      <c r="B51" s="38"/>
      <c r="C51" s="38"/>
      <c r="D51" s="38"/>
      <c r="E51" s="84" t="s">
        <v>179</v>
      </c>
      <c r="F51" s="47"/>
      <c r="G51" s="9">
        <f>B37/$B$42</f>
        <v>0.46941308995609093</v>
      </c>
      <c r="H51" s="9">
        <f>C37/$C$42</f>
        <v>0.4426315616690194</v>
      </c>
      <c r="I51" s="9">
        <f>D37/$D$42</f>
        <v>0.3074071327945429</v>
      </c>
      <c r="N51" s="118"/>
      <c r="O51" s="47"/>
      <c r="R51" s="120"/>
      <c r="S51" s="47"/>
    </row>
    <row r="52" spans="1:19" ht="15.6" customHeight="1" x14ac:dyDescent="0.3">
      <c r="A52" s="32"/>
      <c r="B52" s="52"/>
      <c r="C52" s="52"/>
      <c r="D52" s="52"/>
      <c r="E52" s="43" t="s">
        <v>180</v>
      </c>
      <c r="F52" s="48"/>
      <c r="G52" s="9">
        <f>B38/$B$42</f>
        <v>0.18149076223974497</v>
      </c>
      <c r="H52" s="9">
        <f>C38/$C$42</f>
        <v>0.11212698204261186</v>
      </c>
      <c r="I52" s="9">
        <f>D38/$D$42</f>
        <v>8.4822421591161865E-2</v>
      </c>
      <c r="J52" s="47"/>
      <c r="K52" s="47"/>
      <c r="L52" s="47"/>
      <c r="M52" s="47"/>
      <c r="P52" s="123"/>
    </row>
    <row r="53" spans="1:19" ht="15.6" customHeight="1" x14ac:dyDescent="0.3">
      <c r="B53" s="33"/>
      <c r="C53" s="33"/>
      <c r="D53" s="33"/>
      <c r="E53" s="84" t="s">
        <v>181</v>
      </c>
      <c r="F53" s="4"/>
      <c r="G53" s="9">
        <f>B39/$B$42</f>
        <v>0.15765113374253814</v>
      </c>
      <c r="H53" s="9">
        <f>C39/$C$42</f>
        <v>0.22003545517218739</v>
      </c>
      <c r="I53" s="9">
        <f>D39/$D$42</f>
        <v>0.2589901386520353</v>
      </c>
      <c r="J53" s="48"/>
      <c r="K53" s="48"/>
      <c r="L53" s="48"/>
      <c r="M53" s="48"/>
      <c r="P53" s="124"/>
    </row>
    <row r="54" spans="1:19" ht="15.6" customHeight="1" x14ac:dyDescent="0.3">
      <c r="A54" s="32"/>
      <c r="B54" s="52"/>
      <c r="C54" s="52"/>
      <c r="D54" s="52"/>
      <c r="E54" s="43" t="s">
        <v>182</v>
      </c>
      <c r="F54" s="4"/>
      <c r="G54" s="9">
        <f>B40/$B$42</f>
        <v>0.131098799206112</v>
      </c>
      <c r="H54" s="9">
        <f>C40/$C$42</f>
        <v>0.16916713174222778</v>
      </c>
      <c r="I54" s="9">
        <f>D40/$D$42</f>
        <v>0.21446578186401721</v>
      </c>
    </row>
    <row r="55" spans="1:19" ht="15.6" customHeight="1" x14ac:dyDescent="0.3">
      <c r="A55" s="53"/>
      <c r="B55" s="34"/>
      <c r="C55" s="34"/>
      <c r="D55" s="34"/>
      <c r="E55" s="84" t="s">
        <v>183</v>
      </c>
      <c r="F55" s="4"/>
      <c r="G55" s="9">
        <f>B41/$B$42</f>
        <v>6.0346214855513919E-2</v>
      </c>
      <c r="H55" s="9">
        <f>C41/$C$42</f>
        <v>5.6038869373953581E-2</v>
      </c>
      <c r="I55" s="9">
        <f>D41/$D$42</f>
        <v>0.13431452509824277</v>
      </c>
    </row>
    <row r="56" spans="1:19" x14ac:dyDescent="0.3">
      <c r="A56" s="54"/>
      <c r="B56" s="35"/>
      <c r="C56" s="35"/>
      <c r="D56" s="35"/>
    </row>
    <row r="57" spans="1:19" x14ac:dyDescent="0.3">
      <c r="A57" s="51"/>
      <c r="B57" s="35"/>
      <c r="C57" s="35"/>
      <c r="D57" s="35"/>
    </row>
    <row r="58" spans="1:19" x14ac:dyDescent="0.3">
      <c r="A58" s="32"/>
      <c r="B58" s="52"/>
      <c r="C58" s="52"/>
      <c r="D58" s="52"/>
    </row>
    <row r="59" spans="1:19" x14ac:dyDescent="0.3">
      <c r="A59" s="51"/>
      <c r="B59" s="34"/>
      <c r="C59" s="34"/>
      <c r="D59" s="34"/>
    </row>
    <row r="60" spans="1:19" x14ac:dyDescent="0.3">
      <c r="A60" s="32"/>
      <c r="B60" s="52"/>
      <c r="C60" s="52"/>
      <c r="D60" s="52"/>
    </row>
    <row r="61" spans="1:19" x14ac:dyDescent="0.3">
      <c r="A61" t="s">
        <v>184</v>
      </c>
      <c r="B61">
        <v>2025</v>
      </c>
      <c r="C61" s="22">
        <v>2024</v>
      </c>
      <c r="D61" s="21">
        <v>2023</v>
      </c>
      <c r="E61">
        <v>2022</v>
      </c>
      <c r="F61">
        <v>2021</v>
      </c>
      <c r="G61">
        <v>2020</v>
      </c>
    </row>
    <row r="62" spans="1:19" ht="15.6" customHeight="1" x14ac:dyDescent="0.3">
      <c r="A62" s="41" t="s">
        <v>151</v>
      </c>
      <c r="B62" s="121">
        <f>(G3/F3)-1</f>
        <v>1.1420340763599355</v>
      </c>
      <c r="C62" s="121">
        <f>(F3/E3)-1</f>
        <v>1.2585452658115224</v>
      </c>
      <c r="D62" s="121">
        <f>(E3/D3)-1</f>
        <v>2.2293230289069932E-3</v>
      </c>
      <c r="E62" s="121">
        <f>(D3/C3)-1</f>
        <v>0.61403298350824587</v>
      </c>
      <c r="F62" s="121">
        <f>(C3/B3)-1</f>
        <v>0.52729437625938824</v>
      </c>
      <c r="G62" s="121">
        <v>0</v>
      </c>
    </row>
    <row r="63" spans="1:19" ht="15.6" customHeight="1" x14ac:dyDescent="0.3">
      <c r="A63" s="42" t="s">
        <v>152</v>
      </c>
      <c r="B63" s="121">
        <f>(G4/F4)-1</f>
        <v>0.96372059442873481</v>
      </c>
      <c r="C63" s="121">
        <f>(F4/E4)-1</f>
        <v>0.43062489240833179</v>
      </c>
      <c r="D63" s="121">
        <f>(E4/D4)-1</f>
        <v>0.23085072571246945</v>
      </c>
      <c r="E63" s="121">
        <f>(D4/C4)-1</f>
        <v>0.5032648510909381</v>
      </c>
      <c r="F63" s="121">
        <f>(C4/B4)-1</f>
        <v>0.51301204819277113</v>
      </c>
      <c r="G63" s="121">
        <v>0</v>
      </c>
    </row>
    <row r="64" spans="1:19" ht="15.6" customHeight="1" x14ac:dyDescent="0.3">
      <c r="A64" t="s">
        <v>159</v>
      </c>
      <c r="B64" s="121">
        <f>(G11/F11)-1</f>
        <v>0.44805366757878007</v>
      </c>
      <c r="C64" s="121">
        <f>(F11/E11)-1</f>
        <v>1.7696730147322981E-2</v>
      </c>
      <c r="D64" s="121">
        <f>(E11/D11)-1</f>
        <v>0.49744417541027719</v>
      </c>
      <c r="E64" s="121">
        <f>(D11/C11)-1</f>
        <v>0.26773533424283769</v>
      </c>
      <c r="F64" s="121">
        <f>(C11/B11)-1</f>
        <v>0.49515553289138192</v>
      </c>
      <c r="G64" s="121">
        <v>0</v>
      </c>
    </row>
    <row r="65" spans="1:7" x14ac:dyDescent="0.3">
      <c r="B65" s="122"/>
      <c r="C65" s="122"/>
      <c r="D65" s="122"/>
      <c r="E65" s="122"/>
      <c r="F65" s="122"/>
      <c r="G65" s="122"/>
    </row>
    <row r="75" spans="1:7" x14ac:dyDescent="0.3">
      <c r="A75" s="16"/>
      <c r="B75" s="16"/>
      <c r="C75" s="16"/>
      <c r="D75" s="16"/>
      <c r="E75" s="16"/>
      <c r="F75" s="16"/>
    </row>
    <row r="76" spans="1:7" x14ac:dyDescent="0.3">
      <c r="A76" s="15"/>
      <c r="B76" s="15"/>
      <c r="C76" s="15"/>
      <c r="D76" s="15"/>
      <c r="E76" s="15"/>
      <c r="F76" s="15"/>
    </row>
    <row r="77" spans="1:7" x14ac:dyDescent="0.3">
      <c r="A77" s="16"/>
      <c r="B77" s="16"/>
      <c r="C77" s="16"/>
      <c r="D77" s="16"/>
      <c r="E77" s="16"/>
      <c r="F77" s="16"/>
    </row>
    <row r="78" spans="1:7" x14ac:dyDescent="0.3">
      <c r="A78" s="15"/>
      <c r="B78" s="15"/>
      <c r="C78" s="15"/>
      <c r="D78" s="15"/>
      <c r="E78" s="15"/>
      <c r="F78" s="15"/>
    </row>
    <row r="79" spans="1:7" x14ac:dyDescent="0.3">
      <c r="A79" s="16"/>
      <c r="B79" s="16"/>
      <c r="C79" s="16"/>
      <c r="D79" s="16"/>
      <c r="E79" s="16"/>
      <c r="F79" s="16"/>
    </row>
    <row r="80" spans="1:7" x14ac:dyDescent="0.3">
      <c r="A80" s="15"/>
      <c r="B80" s="15"/>
      <c r="C80" s="15"/>
      <c r="D80" s="15"/>
      <c r="E80" s="15"/>
      <c r="F80" s="15"/>
    </row>
    <row r="81" spans="1:6" x14ac:dyDescent="0.3">
      <c r="A81" s="16"/>
      <c r="B81" s="16"/>
      <c r="C81" s="16"/>
      <c r="D81" s="16"/>
      <c r="E81" s="16"/>
      <c r="F81" s="16"/>
    </row>
    <row r="82" spans="1:6" x14ac:dyDescent="0.3">
      <c r="A82" s="15"/>
      <c r="B82" s="15"/>
      <c r="C82" s="15"/>
      <c r="D82" s="15"/>
      <c r="E82" s="15"/>
      <c r="F82" s="15"/>
    </row>
    <row r="83" spans="1:6" x14ac:dyDescent="0.3">
      <c r="A83" s="16"/>
      <c r="B83" s="16"/>
      <c r="C83" s="16"/>
      <c r="D83" s="16"/>
      <c r="E83" s="16"/>
      <c r="F83" s="16"/>
    </row>
    <row r="84" spans="1:6" x14ac:dyDescent="0.3">
      <c r="A84" s="15"/>
      <c r="B84" s="15"/>
      <c r="C84" s="15"/>
      <c r="D84" s="15"/>
      <c r="E84" s="15"/>
      <c r="F84" s="15"/>
    </row>
    <row r="85" spans="1:6" x14ac:dyDescent="0.3">
      <c r="A85" s="16"/>
      <c r="B85" s="16"/>
      <c r="C85" s="16"/>
      <c r="D85" s="16"/>
      <c r="E85" s="16"/>
      <c r="F85" s="16"/>
    </row>
    <row r="86" spans="1:6" x14ac:dyDescent="0.3">
      <c r="A86" s="15"/>
      <c r="B86" s="15"/>
      <c r="C86" s="15"/>
      <c r="D86" s="15"/>
      <c r="E86" s="15"/>
      <c r="F86" s="15"/>
    </row>
    <row r="87" spans="1:6" x14ac:dyDescent="0.3">
      <c r="A87" s="16"/>
      <c r="B87" s="16"/>
      <c r="C87" s="16"/>
      <c r="D87" s="16"/>
      <c r="E87" s="16"/>
      <c r="F87" s="16"/>
    </row>
    <row r="88" spans="1:6" x14ac:dyDescent="0.3">
      <c r="A88" s="15"/>
      <c r="B88" s="15"/>
      <c r="C88" s="15"/>
      <c r="D88" s="15"/>
      <c r="E88" s="15"/>
      <c r="F88" s="15"/>
    </row>
    <row r="89" spans="1:6" x14ac:dyDescent="0.3">
      <c r="A89" s="16"/>
      <c r="B89" s="16"/>
      <c r="C89" s="16"/>
      <c r="D89" s="16"/>
      <c r="E89" s="16"/>
      <c r="F89" s="16"/>
    </row>
    <row r="90" spans="1:6" x14ac:dyDescent="0.3">
      <c r="A90" s="15"/>
      <c r="B90" s="15"/>
      <c r="C90" s="15"/>
      <c r="D90" s="15"/>
      <c r="E90" s="15"/>
      <c r="F90" s="15"/>
    </row>
    <row r="91" spans="1:6" x14ac:dyDescent="0.3">
      <c r="A91" s="16"/>
      <c r="B91" s="16"/>
      <c r="C91" s="16"/>
      <c r="D91" s="16"/>
      <c r="E91" s="16"/>
      <c r="F91" s="16"/>
    </row>
    <row r="92" spans="1:6" x14ac:dyDescent="0.3">
      <c r="A92" s="15"/>
      <c r="B92" s="15"/>
      <c r="C92" s="15"/>
      <c r="D92" s="15"/>
      <c r="E92" s="15"/>
      <c r="F92" s="15"/>
    </row>
    <row r="93" spans="1:6" x14ac:dyDescent="0.3">
      <c r="A93" s="16"/>
      <c r="B93" s="16"/>
      <c r="C93" s="16"/>
      <c r="D93" s="16"/>
      <c r="E93" s="16"/>
      <c r="F93" s="16"/>
    </row>
    <row r="94" spans="1:6" x14ac:dyDescent="0.3">
      <c r="A94" s="15"/>
      <c r="B94" s="15"/>
      <c r="C94" s="15"/>
      <c r="D94" s="15"/>
      <c r="E94" s="15"/>
      <c r="F94" s="15"/>
    </row>
    <row r="95" spans="1:6" x14ac:dyDescent="0.3">
      <c r="A95" s="16"/>
      <c r="B95" s="16"/>
      <c r="C95" s="16"/>
      <c r="D95" s="16"/>
      <c r="E95" s="16"/>
      <c r="F95" s="16"/>
    </row>
    <row r="96" spans="1:6" x14ac:dyDescent="0.3">
      <c r="A96" s="15"/>
      <c r="B96" s="15"/>
      <c r="C96" s="15"/>
      <c r="D96" s="15"/>
      <c r="E96" s="15"/>
      <c r="F96" s="15"/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5"/>
  <sheetViews>
    <sheetView showGridLines="0" zoomScale="62" workbookViewId="0">
      <selection activeCell="A71" sqref="A71:F90"/>
    </sheetView>
  </sheetViews>
  <sheetFormatPr defaultRowHeight="14.4" x14ac:dyDescent="0.3"/>
  <cols>
    <col min="1" max="1" width="32" bestFit="1" customWidth="1"/>
    <col min="2" max="6" width="19.109375" bestFit="1" customWidth="1"/>
    <col min="7" max="8" width="12.109375" customWidth="1"/>
    <col min="10" max="10" width="32" bestFit="1" customWidth="1"/>
    <col min="11" max="15" width="19.109375" bestFit="1" customWidth="1"/>
  </cols>
  <sheetData>
    <row r="1" spans="1:15" ht="21" customHeight="1" x14ac:dyDescent="0.3">
      <c r="A1" s="205" t="s">
        <v>185</v>
      </c>
      <c r="B1" s="205"/>
      <c r="C1" s="205"/>
      <c r="D1" s="205"/>
      <c r="E1" s="205"/>
      <c r="F1" s="205"/>
      <c r="J1" s="705" t="s">
        <v>186</v>
      </c>
      <c r="K1" s="700"/>
      <c r="L1" s="700"/>
      <c r="M1" s="700"/>
      <c r="N1" s="700"/>
      <c r="O1" s="700"/>
    </row>
    <row r="2" spans="1:15" ht="15.6" customHeight="1" x14ac:dyDescent="0.3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177"/>
      <c r="J2" s="3" t="s">
        <v>187</v>
      </c>
      <c r="K2" s="3" t="s">
        <v>192</v>
      </c>
      <c r="L2" s="3" t="s">
        <v>191</v>
      </c>
      <c r="M2" s="3" t="s">
        <v>190</v>
      </c>
      <c r="N2" s="3" t="s">
        <v>189</v>
      </c>
      <c r="O2" s="3" t="s">
        <v>188</v>
      </c>
    </row>
    <row r="3" spans="1:15" ht="15.6" customHeight="1" x14ac:dyDescent="0.3">
      <c r="A3" s="3" t="s">
        <v>193</v>
      </c>
      <c r="B3" s="3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J3" s="3" t="s">
        <v>193</v>
      </c>
      <c r="K3" s="3" t="s">
        <v>198</v>
      </c>
      <c r="L3" s="3" t="s">
        <v>197</v>
      </c>
      <c r="M3" s="3" t="s">
        <v>196</v>
      </c>
      <c r="N3" s="3" t="s">
        <v>195</v>
      </c>
      <c r="O3" s="3" t="s">
        <v>194</v>
      </c>
    </row>
    <row r="4" spans="1:15" ht="15.6" customHeight="1" x14ac:dyDescent="0.3">
      <c r="A4" s="4" t="s">
        <v>199</v>
      </c>
      <c r="B4" s="105">
        <v>847</v>
      </c>
      <c r="C4" s="105">
        <v>1990</v>
      </c>
      <c r="D4" s="105">
        <v>3389</v>
      </c>
      <c r="E4" s="105">
        <v>7280</v>
      </c>
      <c r="F4" s="105">
        <v>8589</v>
      </c>
      <c r="J4" s="4" t="s">
        <v>199</v>
      </c>
      <c r="K4" s="9">
        <f t="shared" ref="K4:K17" si="0">F4/F$17</f>
        <v>7.6961675970645418E-2</v>
      </c>
      <c r="L4" s="9">
        <f t="shared" ref="L4:L17" si="1">E4/E$17</f>
        <v>0.11075949367088607</v>
      </c>
      <c r="M4" s="9">
        <f t="shared" ref="M4:M17" si="2">D4/D$17</f>
        <v>8.2293234908455151E-2</v>
      </c>
      <c r="N4" s="9">
        <f t="shared" ref="N4:N17" si="3">C4/C$17</f>
        <v>4.5035870278588727E-2</v>
      </c>
      <c r="O4" s="9">
        <f t="shared" ref="O4:O17" si="4">B4/B$17</f>
        <v>2.9418915633357648E-2</v>
      </c>
    </row>
    <row r="5" spans="1:15" ht="15.6" customHeight="1" x14ac:dyDescent="0.3">
      <c r="A5" s="4" t="s">
        <v>200</v>
      </c>
      <c r="B5" s="105">
        <v>10714</v>
      </c>
      <c r="C5" s="105">
        <v>19218</v>
      </c>
      <c r="D5" s="105">
        <v>9907</v>
      </c>
      <c r="E5" s="105">
        <v>18704</v>
      </c>
      <c r="F5" s="105">
        <v>34621</v>
      </c>
      <c r="J5" s="4" t="s">
        <v>200</v>
      </c>
      <c r="K5" s="9">
        <f t="shared" si="0"/>
        <v>0.3102212345767511</v>
      </c>
      <c r="L5" s="9">
        <f t="shared" si="1"/>
        <v>0.28456669912366117</v>
      </c>
      <c r="M5" s="9">
        <f t="shared" si="2"/>
        <v>0.24056626681559906</v>
      </c>
      <c r="N5" s="9">
        <f t="shared" si="3"/>
        <v>0.43492429900196888</v>
      </c>
      <c r="O5" s="9">
        <f t="shared" si="4"/>
        <v>0.37213017957000449</v>
      </c>
    </row>
    <row r="6" spans="1:15" s="1" customFormat="1" ht="15.6" customHeight="1" x14ac:dyDescent="0.3">
      <c r="A6" s="5" t="s">
        <v>201</v>
      </c>
      <c r="B6" s="204">
        <v>11561</v>
      </c>
      <c r="C6" s="204">
        <v>21208</v>
      </c>
      <c r="D6" s="204">
        <v>13296</v>
      </c>
      <c r="E6" s="204">
        <v>25984</v>
      </c>
      <c r="F6" s="204">
        <v>43210</v>
      </c>
      <c r="J6" s="5" t="s">
        <v>201</v>
      </c>
      <c r="K6" s="10">
        <f t="shared" si="0"/>
        <v>0.38718291054739651</v>
      </c>
      <c r="L6" s="10">
        <f t="shared" si="1"/>
        <v>0.39532619279454723</v>
      </c>
      <c r="M6" s="10">
        <f t="shared" si="2"/>
        <v>0.3228595017240542</v>
      </c>
      <c r="N6" s="10">
        <f t="shared" si="3"/>
        <v>0.47996016928055762</v>
      </c>
      <c r="O6" s="10">
        <f t="shared" si="4"/>
        <v>0.40154909520336218</v>
      </c>
    </row>
    <row r="7" spans="1:15" ht="15.6" customHeight="1" x14ac:dyDescent="0.3">
      <c r="A7" s="4" t="s">
        <v>202</v>
      </c>
      <c r="B7" s="105">
        <v>2429</v>
      </c>
      <c r="C7" s="105">
        <v>4650</v>
      </c>
      <c r="D7" s="105">
        <v>3827</v>
      </c>
      <c r="E7" s="105">
        <v>9999</v>
      </c>
      <c r="F7" s="105">
        <v>23065</v>
      </c>
      <c r="J7" s="4" t="s">
        <v>202</v>
      </c>
      <c r="K7" s="9">
        <f t="shared" si="0"/>
        <v>0.20667377532459386</v>
      </c>
      <c r="L7" s="9">
        <f t="shared" si="1"/>
        <v>0.15212694741966895</v>
      </c>
      <c r="M7" s="9">
        <f t="shared" si="2"/>
        <v>9.2928949541061623E-2</v>
      </c>
      <c r="N7" s="9">
        <f t="shared" si="3"/>
        <v>0.10523457125398873</v>
      </c>
      <c r="O7" s="9">
        <f t="shared" si="4"/>
        <v>8.4366642353513252E-2</v>
      </c>
    </row>
    <row r="8" spans="1:15" ht="15.6" customHeight="1" x14ac:dyDescent="0.3">
      <c r="A8" s="4" t="s">
        <v>203</v>
      </c>
      <c r="B8" s="105">
        <v>1826</v>
      </c>
      <c r="C8" s="105">
        <v>2605</v>
      </c>
      <c r="D8" s="105">
        <v>5159</v>
      </c>
      <c r="E8" s="105">
        <v>5282</v>
      </c>
      <c r="F8" s="105">
        <v>10080</v>
      </c>
      <c r="J8" s="4" t="s">
        <v>203</v>
      </c>
      <c r="K8" s="9">
        <f t="shared" si="0"/>
        <v>9.0321771310292925E-2</v>
      </c>
      <c r="L8" s="9">
        <f t="shared" si="1"/>
        <v>8.0361489776046735E-2</v>
      </c>
      <c r="M8" s="9">
        <f t="shared" si="2"/>
        <v>0.1252731776018649</v>
      </c>
      <c r="N8" s="9">
        <f t="shared" si="3"/>
        <v>5.8953990992825944E-2</v>
      </c>
      <c r="O8" s="9">
        <f t="shared" si="4"/>
        <v>6.3422597339446357E-2</v>
      </c>
    </row>
    <row r="9" spans="1:15" ht="15.6" customHeight="1" x14ac:dyDescent="0.3">
      <c r="A9" s="4" t="s">
        <v>204</v>
      </c>
      <c r="B9" s="105">
        <v>239</v>
      </c>
      <c r="C9" s="105">
        <v>366</v>
      </c>
      <c r="D9" s="105">
        <v>791</v>
      </c>
      <c r="E9" s="105">
        <v>3080</v>
      </c>
      <c r="F9" s="105">
        <v>3771</v>
      </c>
      <c r="J9" s="4" t="s">
        <v>204</v>
      </c>
      <c r="K9" s="9">
        <f t="shared" si="0"/>
        <v>3.379001980268994E-2</v>
      </c>
      <c r="L9" s="9">
        <f t="shared" si="1"/>
        <v>4.6859785783836413E-2</v>
      </c>
      <c r="M9" s="9">
        <f t="shared" si="2"/>
        <v>1.9207420717789324E-2</v>
      </c>
      <c r="N9" s="9">
        <f t="shared" si="3"/>
        <v>8.2829791567655651E-3</v>
      </c>
      <c r="O9" s="9">
        <f t="shared" si="4"/>
        <v>8.3012052377479072E-3</v>
      </c>
    </row>
    <row r="10" spans="1:15" s="1" customFormat="1" ht="15.6" customHeight="1" x14ac:dyDescent="0.3">
      <c r="A10" s="5" t="s">
        <v>205</v>
      </c>
      <c r="B10" s="204">
        <v>16055</v>
      </c>
      <c r="C10" s="204">
        <v>28829</v>
      </c>
      <c r="D10" s="204">
        <v>23073</v>
      </c>
      <c r="E10" s="204">
        <v>44345</v>
      </c>
      <c r="F10" s="204">
        <v>80126</v>
      </c>
      <c r="J10" s="5" t="s">
        <v>205</v>
      </c>
      <c r="K10" s="10">
        <f t="shared" si="0"/>
        <v>0.71796847698497324</v>
      </c>
      <c r="L10" s="10">
        <f t="shared" si="1"/>
        <v>0.67467441577409937</v>
      </c>
      <c r="M10" s="10">
        <f t="shared" si="2"/>
        <v>0.56026904958477008</v>
      </c>
      <c r="N10" s="10">
        <f t="shared" si="3"/>
        <v>0.65243171068413786</v>
      </c>
      <c r="O10" s="10">
        <f t="shared" si="4"/>
        <v>0.55763954013406969</v>
      </c>
    </row>
    <row r="11" spans="1:15" ht="15.6" customHeight="1" x14ac:dyDescent="0.3">
      <c r="A11" s="4" t="s">
        <v>206</v>
      </c>
      <c r="B11" s="105">
        <v>2149</v>
      </c>
      <c r="C11" s="105">
        <v>2778</v>
      </c>
      <c r="D11" s="105">
        <v>3807</v>
      </c>
      <c r="E11" s="105">
        <v>3914</v>
      </c>
      <c r="F11" s="105">
        <v>6283</v>
      </c>
      <c r="J11" s="4" t="s">
        <v>206</v>
      </c>
      <c r="K11" s="9">
        <f t="shared" si="0"/>
        <v>5.6298778684778811E-2</v>
      </c>
      <c r="L11" s="9">
        <f t="shared" si="1"/>
        <v>5.954844206426485E-2</v>
      </c>
      <c r="M11" s="9">
        <f t="shared" si="2"/>
        <v>9.2443300471079598E-2</v>
      </c>
      <c r="N11" s="9">
        <f t="shared" si="3"/>
        <v>6.2869169665286176E-2</v>
      </c>
      <c r="O11" s="9">
        <f t="shared" si="4"/>
        <v>7.4641380987114023E-2</v>
      </c>
    </row>
    <row r="12" spans="1:15" ht="15.6" customHeight="1" x14ac:dyDescent="0.3">
      <c r="A12" s="4" t="s">
        <v>207</v>
      </c>
      <c r="B12" s="105">
        <v>707</v>
      </c>
      <c r="C12" s="105">
        <v>829</v>
      </c>
      <c r="D12" s="105">
        <v>1038</v>
      </c>
      <c r="E12" s="105">
        <v>1346</v>
      </c>
      <c r="F12" s="105">
        <v>1793</v>
      </c>
      <c r="J12" s="4" t="s">
        <v>208</v>
      </c>
      <c r="K12" s="9">
        <f t="shared" si="0"/>
        <v>1.6066164281682064E-2</v>
      </c>
      <c r="L12" s="9">
        <f t="shared" si="1"/>
        <v>2.0478334956183057E-2</v>
      </c>
      <c r="M12" s="9">
        <f t="shared" si="2"/>
        <v>2.5205186732067408E-2</v>
      </c>
      <c r="N12" s="9">
        <f t="shared" si="3"/>
        <v>1.8761174100979928E-2</v>
      </c>
      <c r="O12" s="9">
        <f t="shared" si="4"/>
        <v>2.4556284950158037E-2</v>
      </c>
    </row>
    <row r="13" spans="1:15" ht="15.6" customHeight="1" x14ac:dyDescent="0.3">
      <c r="A13" s="4" t="s">
        <v>209</v>
      </c>
      <c r="B13" s="105">
        <v>4193</v>
      </c>
      <c r="C13" s="105">
        <v>4349</v>
      </c>
      <c r="D13" s="105">
        <v>4372</v>
      </c>
      <c r="E13" s="105">
        <v>4430</v>
      </c>
      <c r="F13" s="105">
        <v>5188</v>
      </c>
      <c r="J13" s="4" t="s">
        <v>209</v>
      </c>
      <c r="K13" s="9">
        <f t="shared" si="0"/>
        <v>4.6487038646607109E-2</v>
      </c>
      <c r="L13" s="9">
        <f t="shared" si="1"/>
        <v>6.739897760467381E-2</v>
      </c>
      <c r="M13" s="9">
        <f t="shared" si="2"/>
        <v>0.10616288669807197</v>
      </c>
      <c r="N13" s="9">
        <f t="shared" si="3"/>
        <v>9.8422612985719776E-2</v>
      </c>
      <c r="O13" s="9">
        <f t="shared" si="4"/>
        <v>0.14563578896182836</v>
      </c>
    </row>
    <row r="14" spans="1:15" ht="15.6" customHeight="1" x14ac:dyDescent="0.3">
      <c r="A14" s="4" t="s">
        <v>210</v>
      </c>
      <c r="B14" s="105">
        <v>2737</v>
      </c>
      <c r="C14" s="105">
        <v>2339</v>
      </c>
      <c r="D14" s="105">
        <v>1676</v>
      </c>
      <c r="E14" s="105">
        <v>1112</v>
      </c>
      <c r="F14" s="105">
        <v>807</v>
      </c>
      <c r="J14" s="4" t="s">
        <v>211</v>
      </c>
      <c r="K14" s="9">
        <f t="shared" si="0"/>
        <v>7.2311180007347603E-3</v>
      </c>
      <c r="L14" s="9">
        <f t="shared" si="1"/>
        <v>1.6918208373904578E-2</v>
      </c>
      <c r="M14" s="9">
        <f t="shared" si="2"/>
        <v>4.0697392064494194E-2</v>
      </c>
      <c r="N14" s="9">
        <f t="shared" si="3"/>
        <v>5.2934120895285944E-2</v>
      </c>
      <c r="O14" s="9">
        <f t="shared" si="4"/>
        <v>9.506442985655239E-2</v>
      </c>
    </row>
    <row r="15" spans="1:15" ht="15.6" customHeight="1" x14ac:dyDescent="0.3">
      <c r="A15" s="4" t="s">
        <v>212</v>
      </c>
      <c r="B15" s="105">
        <v>806</v>
      </c>
      <c r="C15" s="105">
        <v>1222</v>
      </c>
      <c r="D15" s="105">
        <v>3396</v>
      </c>
      <c r="E15" s="105">
        <v>6081</v>
      </c>
      <c r="F15" s="105">
        <v>10979</v>
      </c>
      <c r="J15" s="4" t="s">
        <v>212</v>
      </c>
      <c r="K15" s="9">
        <f t="shared" si="0"/>
        <v>9.8377254684097817E-2</v>
      </c>
      <c r="L15" s="9">
        <f t="shared" si="1"/>
        <v>9.2517648490749754E-2</v>
      </c>
      <c r="M15" s="9">
        <f t="shared" si="2"/>
        <v>8.2463212082948864E-2</v>
      </c>
      <c r="N15" s="9">
        <f t="shared" si="3"/>
        <v>2.7655192703736394E-2</v>
      </c>
      <c r="O15" s="9">
        <f t="shared" si="4"/>
        <v>2.7994859504706333E-2</v>
      </c>
    </row>
    <row r="16" spans="1:15" ht="15.6" customHeight="1" x14ac:dyDescent="0.3">
      <c r="A16" s="4" t="s">
        <v>213</v>
      </c>
      <c r="B16" s="105">
        <v>2144</v>
      </c>
      <c r="C16" s="105">
        <v>3841</v>
      </c>
      <c r="D16" s="105">
        <v>3820</v>
      </c>
      <c r="E16" s="105">
        <v>4500</v>
      </c>
      <c r="F16" s="105">
        <v>6425</v>
      </c>
      <c r="J16" s="4" t="s">
        <v>214</v>
      </c>
      <c r="K16" s="9">
        <f t="shared" si="0"/>
        <v>5.7571168717126191E-2</v>
      </c>
      <c r="L16" s="9">
        <f t="shared" si="1"/>
        <v>6.8463972736124631E-2</v>
      </c>
      <c r="M16" s="9">
        <f t="shared" si="2"/>
        <v>9.2758972366567924E-2</v>
      </c>
      <c r="N16" s="9">
        <f t="shared" si="3"/>
        <v>8.6926018964853913E-2</v>
      </c>
      <c r="O16" s="9">
        <f t="shared" si="4"/>
        <v>7.446771560557118E-2</v>
      </c>
    </row>
    <row r="17" spans="1:15" s="2" customFormat="1" ht="15.6" customHeight="1" x14ac:dyDescent="0.3">
      <c r="A17" s="6" t="s">
        <v>215</v>
      </c>
      <c r="B17" s="86">
        <v>28791</v>
      </c>
      <c r="C17" s="86">
        <v>44187</v>
      </c>
      <c r="D17" s="86">
        <v>41182</v>
      </c>
      <c r="E17" s="86">
        <v>65728</v>
      </c>
      <c r="F17" s="86">
        <v>111601</v>
      </c>
      <c r="G17" s="177"/>
      <c r="H17" s="177"/>
      <c r="I17" s="177"/>
      <c r="J17" s="6" t="s">
        <v>215</v>
      </c>
      <c r="K17" s="11">
        <f t="shared" si="0"/>
        <v>1</v>
      </c>
      <c r="L17" s="11">
        <f t="shared" si="1"/>
        <v>1</v>
      </c>
      <c r="M17" s="11">
        <f t="shared" si="2"/>
        <v>1</v>
      </c>
      <c r="N17" s="11">
        <f t="shared" si="3"/>
        <v>1</v>
      </c>
      <c r="O17" s="11">
        <f t="shared" si="4"/>
        <v>1</v>
      </c>
    </row>
    <row r="18" spans="1:15" ht="15.6" customHeight="1" x14ac:dyDescent="0.3">
      <c r="A18" s="4" t="s">
        <v>216</v>
      </c>
      <c r="B18" s="105">
        <v>1149</v>
      </c>
      <c r="C18" s="105">
        <v>1783</v>
      </c>
      <c r="D18" s="105">
        <v>1193</v>
      </c>
      <c r="E18" s="105">
        <v>2699</v>
      </c>
      <c r="F18" s="105">
        <v>6310</v>
      </c>
      <c r="J18" s="4" t="s">
        <v>216</v>
      </c>
      <c r="K18" s="9">
        <f t="shared" ref="K18:K31" si="5">IFERROR(F18/F$31,"-")</f>
        <v>0.19551341637231207</v>
      </c>
      <c r="L18" s="9">
        <f t="shared" ref="L18:L31" si="6">IFERROR(E18/E$31,"-")</f>
        <v>0.11863736263736263</v>
      </c>
      <c r="M18" s="9">
        <f t="shared" ref="M18:M31" si="7">IFERROR(D18/D$31,"-")</f>
        <v>6.2522928567685127E-2</v>
      </c>
      <c r="N18" s="9">
        <f t="shared" ref="N18:N31" si="8">IFERROR(C18/C$31,"-")</f>
        <v>0.10145092460881934</v>
      </c>
      <c r="O18" s="9">
        <f t="shared" ref="O18:O31" si="9">IFERROR(B18/B$31,"-")</f>
        <v>9.6570852244074634E-2</v>
      </c>
    </row>
    <row r="19" spans="1:15" ht="15.6" customHeight="1" x14ac:dyDescent="0.3">
      <c r="A19" s="4" t="s">
        <v>217</v>
      </c>
      <c r="B19" s="105">
        <v>297</v>
      </c>
      <c r="C19" s="105">
        <v>409</v>
      </c>
      <c r="D19" s="105">
        <v>530</v>
      </c>
      <c r="E19" s="105">
        <v>675</v>
      </c>
      <c r="F19" s="105">
        <v>848</v>
      </c>
      <c r="J19" s="4" t="s">
        <v>217</v>
      </c>
      <c r="K19" s="9">
        <f t="shared" si="5"/>
        <v>2.6275020140050814E-2</v>
      </c>
      <c r="L19" s="9">
        <f t="shared" si="6"/>
        <v>2.9670329670329669E-2</v>
      </c>
      <c r="M19" s="9">
        <f t="shared" si="7"/>
        <v>2.777632199570253E-2</v>
      </c>
      <c r="N19" s="9">
        <f t="shared" si="8"/>
        <v>2.3271692745376955E-2</v>
      </c>
      <c r="O19" s="9">
        <f t="shared" si="9"/>
        <v>2.4962178517397883E-2</v>
      </c>
    </row>
    <row r="20" spans="1:15" ht="15.6" customHeight="1" x14ac:dyDescent="0.3">
      <c r="A20" s="4" t="s">
        <v>218</v>
      </c>
      <c r="B20" s="105">
        <v>999</v>
      </c>
      <c r="C20" s="105">
        <v>0</v>
      </c>
      <c r="D20" s="105">
        <v>1250</v>
      </c>
      <c r="E20" s="105">
        <v>1250</v>
      </c>
      <c r="F20" s="105">
        <v>0</v>
      </c>
      <c r="J20" s="4" t="s">
        <v>219</v>
      </c>
      <c r="K20" s="9">
        <f t="shared" si="5"/>
        <v>0</v>
      </c>
      <c r="L20" s="9">
        <f t="shared" si="6"/>
        <v>5.4945054945054944E-2</v>
      </c>
      <c r="M20" s="9">
        <f t="shared" si="7"/>
        <v>6.5510193386090876E-2</v>
      </c>
      <c r="N20" s="9">
        <f t="shared" si="8"/>
        <v>0</v>
      </c>
      <c r="O20" s="9">
        <f t="shared" si="9"/>
        <v>8.3963691376701968E-2</v>
      </c>
    </row>
    <row r="21" spans="1:15" ht="15.6" customHeight="1" x14ac:dyDescent="0.3">
      <c r="A21" s="4" t="s">
        <v>220</v>
      </c>
      <c r="B21" s="105">
        <v>0</v>
      </c>
      <c r="C21" s="105">
        <v>144</v>
      </c>
      <c r="D21" s="105">
        <v>176</v>
      </c>
      <c r="E21" s="105">
        <v>228</v>
      </c>
      <c r="F21" s="105">
        <v>288</v>
      </c>
      <c r="J21" s="4" t="s">
        <v>220</v>
      </c>
      <c r="K21" s="9">
        <f t="shared" si="5"/>
        <v>8.9235917456776358E-3</v>
      </c>
      <c r="L21" s="9">
        <f t="shared" si="6"/>
        <v>1.0021978021978023E-2</v>
      </c>
      <c r="M21" s="9">
        <f t="shared" si="7"/>
        <v>9.2238352287615961E-3</v>
      </c>
      <c r="N21" s="9">
        <f t="shared" si="8"/>
        <v>8.1934566145092456E-3</v>
      </c>
      <c r="O21" s="9">
        <f t="shared" si="9"/>
        <v>0</v>
      </c>
    </row>
    <row r="22" spans="1:15" ht="15.6" customHeight="1" x14ac:dyDescent="0.3">
      <c r="A22" s="4" t="s">
        <v>221</v>
      </c>
      <c r="B22" s="105">
        <v>0</v>
      </c>
      <c r="C22" s="105">
        <v>132</v>
      </c>
      <c r="D22" s="105">
        <v>467</v>
      </c>
      <c r="E22" s="105">
        <v>296</v>
      </c>
      <c r="F22" s="105">
        <v>881</v>
      </c>
      <c r="J22" s="4" t="s">
        <v>221</v>
      </c>
      <c r="K22" s="9">
        <f t="shared" si="5"/>
        <v>2.7297515027576377E-2</v>
      </c>
      <c r="L22" s="9">
        <f t="shared" si="6"/>
        <v>1.3010989010989011E-2</v>
      </c>
      <c r="M22" s="9">
        <f t="shared" si="7"/>
        <v>2.4474608249043552E-2</v>
      </c>
      <c r="N22" s="9">
        <f t="shared" si="8"/>
        <v>7.5106685633001425E-3</v>
      </c>
      <c r="O22" s="9">
        <f t="shared" si="9"/>
        <v>0</v>
      </c>
    </row>
    <row r="23" spans="1:15" ht="15.6" customHeight="1" x14ac:dyDescent="0.3">
      <c r="A23" s="4" t="s">
        <v>222</v>
      </c>
      <c r="B23" s="105">
        <v>288</v>
      </c>
      <c r="C23" s="105">
        <v>300</v>
      </c>
      <c r="D23" s="105">
        <v>354</v>
      </c>
      <c r="E23" s="105">
        <v>764</v>
      </c>
      <c r="F23" s="105">
        <v>837</v>
      </c>
      <c r="J23" s="4" t="s">
        <v>222</v>
      </c>
      <c r="K23" s="9">
        <f t="shared" si="5"/>
        <v>2.5934188510875627E-2</v>
      </c>
      <c r="L23" s="9">
        <f t="shared" si="6"/>
        <v>3.3582417582417583E-2</v>
      </c>
      <c r="M23" s="9">
        <f t="shared" si="7"/>
        <v>1.8552486766940934E-2</v>
      </c>
      <c r="N23" s="9">
        <f t="shared" si="8"/>
        <v>1.7069701280227598E-2</v>
      </c>
      <c r="O23" s="9">
        <f t="shared" si="9"/>
        <v>2.4205748865355523E-2</v>
      </c>
    </row>
    <row r="24" spans="1:15" ht="15.6" customHeight="1" x14ac:dyDescent="0.3">
      <c r="A24" s="4" t="s">
        <v>223</v>
      </c>
      <c r="B24" s="105">
        <v>1192</v>
      </c>
      <c r="C24" s="105">
        <v>1567</v>
      </c>
      <c r="D24" s="105">
        <v>2593</v>
      </c>
      <c r="E24" s="105">
        <v>4719</v>
      </c>
      <c r="F24" s="105">
        <v>8883</v>
      </c>
      <c r="J24" s="4" t="s">
        <v>223</v>
      </c>
      <c r="K24" s="9">
        <f t="shared" si="5"/>
        <v>0.27523703290574458</v>
      </c>
      <c r="L24" s="9">
        <f t="shared" si="6"/>
        <v>0.20742857142857143</v>
      </c>
      <c r="M24" s="9">
        <f t="shared" si="7"/>
        <v>0.1358943451601069</v>
      </c>
      <c r="N24" s="9">
        <f t="shared" si="8"/>
        <v>8.9160739687055471E-2</v>
      </c>
      <c r="O24" s="9">
        <f t="shared" si="9"/>
        <v>0.1001849050260548</v>
      </c>
    </row>
    <row r="25" spans="1:15" s="1" customFormat="1" ht="15.6" customHeight="1" x14ac:dyDescent="0.3">
      <c r="A25" s="5" t="s">
        <v>224</v>
      </c>
      <c r="B25" s="204">
        <v>3925</v>
      </c>
      <c r="C25" s="204">
        <v>4335</v>
      </c>
      <c r="D25" s="204">
        <v>6563</v>
      </c>
      <c r="E25" s="204">
        <v>10631</v>
      </c>
      <c r="F25" s="204">
        <v>18047</v>
      </c>
      <c r="J25" s="5" t="s">
        <v>224</v>
      </c>
      <c r="K25" s="10">
        <f t="shared" si="5"/>
        <v>0.5591807647022371</v>
      </c>
      <c r="L25" s="10">
        <f t="shared" si="6"/>
        <v>0.46729670329670331</v>
      </c>
      <c r="M25" s="10">
        <f t="shared" si="7"/>
        <v>0.34395471935433153</v>
      </c>
      <c r="N25" s="10">
        <f t="shared" si="8"/>
        <v>0.24665718349928875</v>
      </c>
      <c r="O25" s="10">
        <f t="shared" si="9"/>
        <v>0.32988737602958479</v>
      </c>
    </row>
    <row r="26" spans="1:15" ht="15.6" customHeight="1" x14ac:dyDescent="0.3">
      <c r="A26" s="4" t="s">
        <v>225</v>
      </c>
      <c r="B26" s="105">
        <v>5964</v>
      </c>
      <c r="C26" s="105">
        <v>10946</v>
      </c>
      <c r="D26" s="105">
        <v>9703</v>
      </c>
      <c r="E26" s="105">
        <v>8459</v>
      </c>
      <c r="F26" s="105">
        <v>8463</v>
      </c>
      <c r="J26" s="4" t="s">
        <v>225</v>
      </c>
      <c r="K26" s="9">
        <f t="shared" si="5"/>
        <v>0.26222346160996468</v>
      </c>
      <c r="L26" s="9">
        <f t="shared" si="6"/>
        <v>0.37182417582417582</v>
      </c>
      <c r="M26" s="9">
        <f t="shared" si="7"/>
        <v>0.50851632514019185</v>
      </c>
      <c r="N26" s="9">
        <f t="shared" si="8"/>
        <v>0.62281650071123751</v>
      </c>
      <c r="O26" s="9">
        <f t="shared" si="9"/>
        <v>0.50126071608673728</v>
      </c>
    </row>
    <row r="27" spans="1:15" ht="15.6" customHeight="1" x14ac:dyDescent="0.3">
      <c r="A27" s="4" t="s">
        <v>226</v>
      </c>
      <c r="B27" s="105">
        <v>634</v>
      </c>
      <c r="C27" s="105">
        <v>741</v>
      </c>
      <c r="D27" s="105">
        <v>902</v>
      </c>
      <c r="E27" s="105">
        <v>1119</v>
      </c>
      <c r="F27" s="105">
        <v>1519</v>
      </c>
      <c r="J27" s="4" t="s">
        <v>226</v>
      </c>
      <c r="K27" s="9">
        <f t="shared" si="5"/>
        <v>4.706574951973725E-2</v>
      </c>
      <c r="L27" s="9">
        <f t="shared" si="6"/>
        <v>4.9186813186813186E-2</v>
      </c>
      <c r="M27" s="9">
        <f t="shared" si="7"/>
        <v>4.7272155547403175E-2</v>
      </c>
      <c r="N27" s="9">
        <f t="shared" si="8"/>
        <v>4.2162162162162162E-2</v>
      </c>
      <c r="O27" s="9">
        <f t="shared" si="9"/>
        <v>5.3286266599428478E-2</v>
      </c>
    </row>
    <row r="28" spans="1:15" ht="15.6" customHeight="1" x14ac:dyDescent="0.3">
      <c r="A28" s="4" t="s">
        <v>227</v>
      </c>
      <c r="B28" s="105">
        <v>163</v>
      </c>
      <c r="C28" s="105">
        <v>202</v>
      </c>
      <c r="D28" s="105">
        <v>218</v>
      </c>
      <c r="E28" s="105">
        <v>573</v>
      </c>
      <c r="F28" s="105">
        <v>976</v>
      </c>
      <c r="J28" s="4" t="s">
        <v>227</v>
      </c>
      <c r="K28" s="9">
        <f t="shared" si="5"/>
        <v>3.0241060915907541E-2</v>
      </c>
      <c r="L28" s="9">
        <f t="shared" si="6"/>
        <v>2.5186813186813185E-2</v>
      </c>
      <c r="M28" s="9">
        <f t="shared" si="7"/>
        <v>1.1424977726534249E-2</v>
      </c>
      <c r="N28" s="9">
        <f t="shared" si="8"/>
        <v>1.1493598862019914E-2</v>
      </c>
      <c r="O28" s="9">
        <f t="shared" si="9"/>
        <v>1.36997814758783E-2</v>
      </c>
    </row>
    <row r="29" spans="1:15" ht="15.6" customHeight="1" x14ac:dyDescent="0.3">
      <c r="A29" s="4" t="s">
        <v>228</v>
      </c>
      <c r="B29" s="105">
        <v>241</v>
      </c>
      <c r="C29" s="105">
        <v>245</v>
      </c>
      <c r="D29" s="105">
        <v>247</v>
      </c>
      <c r="E29" s="105">
        <v>462</v>
      </c>
      <c r="F29" s="105">
        <v>886</v>
      </c>
      <c r="J29" s="4" t="s">
        <v>228</v>
      </c>
      <c r="K29" s="9">
        <f t="shared" si="5"/>
        <v>2.7452438495383282E-2</v>
      </c>
      <c r="L29" s="9">
        <f t="shared" si="6"/>
        <v>2.0307692307692308E-2</v>
      </c>
      <c r="M29" s="9">
        <f t="shared" si="7"/>
        <v>1.2944814213091557E-2</v>
      </c>
      <c r="N29" s="9">
        <f t="shared" si="8"/>
        <v>1.3940256045519203E-2</v>
      </c>
      <c r="O29" s="9">
        <f t="shared" si="9"/>
        <v>2.0255505126912085E-2</v>
      </c>
    </row>
    <row r="30" spans="1:15" ht="15.6" customHeight="1" x14ac:dyDescent="0.3">
      <c r="A30" s="4" t="s">
        <v>229</v>
      </c>
      <c r="B30" s="105">
        <v>971</v>
      </c>
      <c r="C30" s="105">
        <v>1106</v>
      </c>
      <c r="D30" s="105">
        <v>1448</v>
      </c>
      <c r="E30" s="105">
        <v>1506</v>
      </c>
      <c r="F30" s="105">
        <v>2383</v>
      </c>
      <c r="J30" s="4" t="s">
        <v>229</v>
      </c>
      <c r="K30" s="9">
        <f t="shared" si="5"/>
        <v>7.3836524756770161E-2</v>
      </c>
      <c r="L30" s="9">
        <f t="shared" si="6"/>
        <v>6.6197802197802191E-2</v>
      </c>
      <c r="M30" s="9">
        <f t="shared" si="7"/>
        <v>7.5887008018447666E-2</v>
      </c>
      <c r="N30" s="9">
        <f t="shared" si="8"/>
        <v>6.2930298719772404E-2</v>
      </c>
      <c r="O30" s="9">
        <f t="shared" si="9"/>
        <v>8.1610354681459066E-2</v>
      </c>
    </row>
    <row r="31" spans="1:15" s="2" customFormat="1" ht="15.6" customHeight="1" x14ac:dyDescent="0.3">
      <c r="A31" s="6" t="s">
        <v>230</v>
      </c>
      <c r="B31" s="86">
        <v>11898</v>
      </c>
      <c r="C31" s="86">
        <v>17575</v>
      </c>
      <c r="D31" s="86">
        <v>19081</v>
      </c>
      <c r="E31" s="86">
        <v>22750</v>
      </c>
      <c r="F31" s="86">
        <v>32274</v>
      </c>
      <c r="J31" s="6" t="s">
        <v>230</v>
      </c>
      <c r="K31" s="11">
        <f t="shared" si="5"/>
        <v>1</v>
      </c>
      <c r="L31" s="11">
        <f t="shared" si="6"/>
        <v>1</v>
      </c>
      <c r="M31" s="11">
        <f t="shared" si="7"/>
        <v>1</v>
      </c>
      <c r="N31" s="11">
        <f t="shared" si="8"/>
        <v>1</v>
      </c>
      <c r="O31" s="11">
        <f t="shared" si="9"/>
        <v>1</v>
      </c>
    </row>
    <row r="32" spans="1:15" ht="15.6" customHeight="1" x14ac:dyDescent="0.3">
      <c r="A32" s="4" t="s">
        <v>231</v>
      </c>
      <c r="B32" s="105">
        <v>3</v>
      </c>
      <c r="C32" s="105">
        <v>3</v>
      </c>
      <c r="D32" s="105">
        <v>2</v>
      </c>
      <c r="E32" s="105">
        <v>25</v>
      </c>
      <c r="F32" s="105">
        <v>24</v>
      </c>
      <c r="J32" s="4" t="s">
        <v>231</v>
      </c>
      <c r="K32" s="9">
        <f t="shared" ref="K32:K37" si="10">IFERROR(F32/F$37,"-")</f>
        <v>3.0254516116832856E-4</v>
      </c>
      <c r="L32" s="9">
        <f t="shared" ref="L32:L37" si="11">IFERROR(E32/E$37,"-")</f>
        <v>5.8169295918842202E-4</v>
      </c>
      <c r="M32" s="9">
        <f t="shared" ref="M32:M37" si="12">IFERROR(D32/D$37,"-")</f>
        <v>9.049364282159179E-5</v>
      </c>
      <c r="N32" s="9">
        <f t="shared" ref="N32:N37" si="13">IFERROR(C32/C$37,"-")</f>
        <v>1.127310987524425E-4</v>
      </c>
      <c r="O32" s="9">
        <f t="shared" ref="O32:O37" si="14">IFERROR(B32/B$37,"-")</f>
        <v>1.775883502042266E-4</v>
      </c>
    </row>
    <row r="33" spans="1:15" ht="15.6" customHeight="1" x14ac:dyDescent="0.3">
      <c r="A33" s="4" t="s">
        <v>232</v>
      </c>
      <c r="B33" s="105">
        <v>8719</v>
      </c>
      <c r="C33" s="105">
        <v>10385</v>
      </c>
      <c r="D33" s="105">
        <v>11971</v>
      </c>
      <c r="E33" s="105">
        <v>13109</v>
      </c>
      <c r="F33" s="105">
        <v>11237</v>
      </c>
      <c r="J33" s="4" t="s">
        <v>232</v>
      </c>
      <c r="K33" s="9">
        <f t="shared" si="10"/>
        <v>0.14165416566868783</v>
      </c>
      <c r="L33" s="9">
        <f t="shared" si="11"/>
        <v>0.30501652008004093</v>
      </c>
      <c r="M33" s="9">
        <f t="shared" si="12"/>
        <v>0.54164969910863758</v>
      </c>
      <c r="N33" s="9">
        <f t="shared" si="13"/>
        <v>0.3902374868480385</v>
      </c>
      <c r="O33" s="9">
        <f t="shared" si="14"/>
        <v>0.51613094181021724</v>
      </c>
    </row>
    <row r="34" spans="1:15" ht="15.6" customHeight="1" x14ac:dyDescent="0.3">
      <c r="A34" s="4" t="s">
        <v>233</v>
      </c>
      <c r="B34" s="105">
        <v>18908</v>
      </c>
      <c r="C34" s="105">
        <v>16235</v>
      </c>
      <c r="D34" s="105">
        <v>10171</v>
      </c>
      <c r="E34" s="105">
        <v>29817</v>
      </c>
      <c r="F34" s="105">
        <v>68038</v>
      </c>
      <c r="J34" s="4" t="s">
        <v>233</v>
      </c>
      <c r="K34" s="9">
        <f t="shared" si="10"/>
        <v>0.85769031981544741</v>
      </c>
      <c r="L34" s="9">
        <f t="shared" si="11"/>
        <v>0.69377355856484713</v>
      </c>
      <c r="M34" s="9">
        <f t="shared" si="12"/>
        <v>0.46020542056920499</v>
      </c>
      <c r="N34" s="9">
        <f t="shared" si="13"/>
        <v>0.61006312941530139</v>
      </c>
      <c r="O34" s="9">
        <f t="shared" si="14"/>
        <v>1.1192801752205055</v>
      </c>
    </row>
    <row r="35" spans="1:15" ht="15.6" customHeight="1" x14ac:dyDescent="0.3">
      <c r="A35" s="4" t="s">
        <v>234</v>
      </c>
      <c r="B35" s="105">
        <v>-10756</v>
      </c>
      <c r="C35" s="105">
        <v>0</v>
      </c>
      <c r="D35" s="105">
        <v>0</v>
      </c>
      <c r="E35" s="105">
        <v>0</v>
      </c>
      <c r="F35" s="105">
        <v>0</v>
      </c>
      <c r="J35" s="4" t="s">
        <v>234</v>
      </c>
      <c r="K35" s="9">
        <f t="shared" si="10"/>
        <v>0</v>
      </c>
      <c r="L35" s="9">
        <f t="shared" si="11"/>
        <v>0</v>
      </c>
      <c r="M35" s="9">
        <f t="shared" si="12"/>
        <v>0</v>
      </c>
      <c r="N35" s="9">
        <f t="shared" si="13"/>
        <v>0</v>
      </c>
      <c r="O35" s="9">
        <f t="shared" si="14"/>
        <v>-0.63671343159888716</v>
      </c>
    </row>
    <row r="36" spans="1:15" ht="15.6" customHeight="1" x14ac:dyDescent="0.3">
      <c r="A36" s="4" t="s">
        <v>235</v>
      </c>
      <c r="B36" s="105">
        <v>19</v>
      </c>
      <c r="C36" s="105">
        <v>-11</v>
      </c>
      <c r="D36" s="105">
        <v>-43</v>
      </c>
      <c r="E36" s="105">
        <v>27</v>
      </c>
      <c r="F36" s="105">
        <v>28</v>
      </c>
      <c r="J36" s="4" t="s">
        <v>235</v>
      </c>
      <c r="K36" s="9">
        <f t="shared" si="10"/>
        <v>3.5296935469638334E-4</v>
      </c>
      <c r="L36" s="9">
        <f t="shared" si="11"/>
        <v>6.2822839592349569E-4</v>
      </c>
      <c r="M36" s="9">
        <f t="shared" si="12"/>
        <v>-1.9456133206642234E-3</v>
      </c>
      <c r="N36" s="9">
        <f t="shared" si="13"/>
        <v>-4.133473620922892E-4</v>
      </c>
      <c r="O36" s="9">
        <f t="shared" si="14"/>
        <v>1.1247262179601017E-3</v>
      </c>
    </row>
    <row r="37" spans="1:15" s="2" customFormat="1" ht="15.6" customHeight="1" x14ac:dyDescent="0.3">
      <c r="A37" s="6" t="s">
        <v>236</v>
      </c>
      <c r="B37" s="86">
        <v>16893</v>
      </c>
      <c r="C37" s="86">
        <v>26612</v>
      </c>
      <c r="D37" s="86">
        <v>22101</v>
      </c>
      <c r="E37" s="86">
        <v>42978</v>
      </c>
      <c r="F37" s="86">
        <v>79327</v>
      </c>
      <c r="J37" s="6" t="s">
        <v>236</v>
      </c>
      <c r="K37" s="11">
        <f t="shared" si="10"/>
        <v>1</v>
      </c>
      <c r="L37" s="11">
        <f t="shared" si="11"/>
        <v>1</v>
      </c>
      <c r="M37" s="11">
        <f t="shared" si="12"/>
        <v>1</v>
      </c>
      <c r="N37" s="11">
        <f t="shared" si="13"/>
        <v>1</v>
      </c>
      <c r="O37" s="11">
        <f t="shared" si="14"/>
        <v>1</v>
      </c>
    </row>
    <row r="38" spans="1:15" s="2" customFormat="1" ht="15.6" customHeight="1" x14ac:dyDescent="0.3">
      <c r="A38" s="3" t="s">
        <v>237</v>
      </c>
      <c r="B38" s="298">
        <v>28791</v>
      </c>
      <c r="C38" s="298">
        <v>44187</v>
      </c>
      <c r="D38" s="298">
        <v>41182</v>
      </c>
      <c r="E38" s="298">
        <v>65728</v>
      </c>
      <c r="F38" s="298">
        <v>111601</v>
      </c>
      <c r="J38" s="12"/>
      <c r="K38" s="13"/>
      <c r="L38" s="13"/>
      <c r="M38" s="13"/>
      <c r="N38" s="13"/>
      <c r="O38" s="13"/>
    </row>
    <row r="40" spans="1:15" x14ac:dyDescent="0.3">
      <c r="A40" s="7" t="s">
        <v>238</v>
      </c>
      <c r="B40" s="8">
        <f>F38-F17</f>
        <v>0</v>
      </c>
      <c r="C40" s="8">
        <f>E38-E17</f>
        <v>0</v>
      </c>
      <c r="D40" s="8">
        <f>D38-D17</f>
        <v>0</v>
      </c>
      <c r="E40" s="8">
        <f>C38-C17</f>
        <v>0</v>
      </c>
      <c r="F40" s="8">
        <f>B38-B17</f>
        <v>0</v>
      </c>
      <c r="J40" s="153"/>
    </row>
    <row r="43" spans="1:15" x14ac:dyDescent="0.3">
      <c r="A43" s="16"/>
      <c r="B43" s="16"/>
      <c r="C43" s="16"/>
      <c r="D43" s="16"/>
      <c r="E43" s="16"/>
      <c r="F43" s="16"/>
      <c r="G43" s="16"/>
    </row>
    <row r="44" spans="1:15" ht="18" customHeight="1" x14ac:dyDescent="0.3">
      <c r="A44" s="317"/>
      <c r="B44" s="317"/>
      <c r="C44" s="317"/>
      <c r="D44" s="317"/>
      <c r="E44" s="317"/>
      <c r="F44" s="317"/>
      <c r="G44" s="16"/>
    </row>
    <row r="45" spans="1:15" ht="15.6" customHeight="1" x14ac:dyDescent="0.3">
      <c r="A45" s="43"/>
      <c r="B45" s="26"/>
      <c r="C45" s="26"/>
      <c r="D45" s="26"/>
      <c r="E45" s="26"/>
      <c r="F45" s="26"/>
      <c r="G45" s="318"/>
    </row>
    <row r="46" spans="1:15" ht="15.6" customHeight="1" x14ac:dyDescent="0.3">
      <c r="A46" s="43"/>
      <c r="B46" s="26"/>
      <c r="C46" s="26"/>
      <c r="D46" s="26"/>
      <c r="E46" s="26"/>
      <c r="F46" s="26"/>
      <c r="G46" s="43"/>
    </row>
    <row r="47" spans="1:15" ht="15.6" customHeight="1" x14ac:dyDescent="0.3">
      <c r="A47" s="43"/>
      <c r="B47" s="26"/>
      <c r="C47" s="26"/>
      <c r="D47" s="26"/>
      <c r="E47" s="26"/>
      <c r="F47" s="26"/>
      <c r="G47" s="43"/>
    </row>
    <row r="48" spans="1:15" x14ac:dyDescent="0.3">
      <c r="A48" s="16"/>
      <c r="B48" s="16"/>
      <c r="C48" s="16"/>
      <c r="D48" s="16"/>
      <c r="E48" s="16"/>
      <c r="F48" s="16"/>
      <c r="G48" s="16"/>
    </row>
    <row r="49" spans="1:7" ht="18" customHeight="1" x14ac:dyDescent="0.3">
      <c r="A49" s="319"/>
      <c r="B49" s="319"/>
      <c r="C49" s="319"/>
      <c r="D49" s="319"/>
      <c r="E49" s="319"/>
      <c r="F49" s="319"/>
      <c r="G49" s="16"/>
    </row>
    <row r="50" spans="1:7" ht="15.6" customHeight="1" x14ac:dyDescent="0.3">
      <c r="A50" s="43"/>
      <c r="B50" s="26"/>
      <c r="C50" s="26"/>
      <c r="D50" s="26"/>
      <c r="E50" s="26"/>
      <c r="F50" s="26"/>
      <c r="G50" s="16"/>
    </row>
    <row r="51" spans="1:7" ht="15.6" customHeight="1" x14ac:dyDescent="0.3">
      <c r="A51" s="43"/>
      <c r="B51" s="26"/>
      <c r="C51" s="26"/>
      <c r="D51" s="26"/>
      <c r="E51" s="26"/>
      <c r="F51" s="26"/>
      <c r="G51" s="16"/>
    </row>
    <row r="52" spans="1:7" ht="15.6" customHeight="1" x14ac:dyDescent="0.3">
      <c r="A52" s="43"/>
      <c r="B52" s="26"/>
      <c r="C52" s="26"/>
      <c r="D52" s="26"/>
      <c r="E52" s="26"/>
      <c r="F52" s="26"/>
      <c r="G52" s="16"/>
    </row>
    <row r="53" spans="1:7" ht="15.6" customHeight="1" x14ac:dyDescent="0.3">
      <c r="A53" s="43"/>
      <c r="B53" s="26"/>
      <c r="C53" s="26"/>
      <c r="D53" s="26"/>
      <c r="E53" s="26"/>
      <c r="F53" s="26"/>
      <c r="G53" s="16"/>
    </row>
    <row r="54" spans="1:7" x14ac:dyDescent="0.3">
      <c r="A54" s="16"/>
      <c r="B54" s="16"/>
      <c r="C54" s="16"/>
      <c r="D54" s="16"/>
      <c r="E54" s="16"/>
      <c r="F54" s="16"/>
      <c r="G54" s="16"/>
    </row>
    <row r="55" spans="1:7" ht="18" customHeight="1" x14ac:dyDescent="0.35">
      <c r="A55" s="320"/>
      <c r="B55" s="321"/>
      <c r="C55" s="321"/>
      <c r="D55" s="321"/>
      <c r="E55" s="321"/>
      <c r="F55" s="321"/>
      <c r="G55" s="43"/>
    </row>
    <row r="56" spans="1:7" x14ac:dyDescent="0.3">
      <c r="A56" s="16"/>
      <c r="B56" s="16"/>
      <c r="C56" s="16"/>
      <c r="D56" s="16"/>
      <c r="E56" s="16"/>
      <c r="F56" s="16"/>
      <c r="G56" s="16"/>
    </row>
    <row r="58" spans="1:7" x14ac:dyDescent="0.3">
      <c r="A58" s="28"/>
      <c r="B58" s="28"/>
    </row>
    <row r="59" spans="1:7" ht="15.6" customHeight="1" x14ac:dyDescent="0.3">
      <c r="A59" s="5"/>
      <c r="B59" s="204"/>
    </row>
    <row r="75" spans="10:10" x14ac:dyDescent="0.3">
      <c r="J75" s="153"/>
    </row>
  </sheetData>
  <mergeCells count="1"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8"/>
  <sheetViews>
    <sheetView showGridLines="0" topLeftCell="B1" zoomScale="67" zoomScaleNormal="100" workbookViewId="0">
      <selection activeCell="G11" sqref="G11"/>
    </sheetView>
  </sheetViews>
  <sheetFormatPr defaultRowHeight="14.4" x14ac:dyDescent="0.3"/>
  <cols>
    <col min="1" max="1" width="83.77734375" bestFit="1" customWidth="1"/>
    <col min="2" max="2" width="11.109375" style="60" bestFit="1" customWidth="1"/>
    <col min="3" max="3" width="16.88671875" style="60" bestFit="1" customWidth="1"/>
    <col min="4" max="4" width="17" style="60" bestFit="1" customWidth="1"/>
    <col min="5" max="5" width="11.109375" style="176" customWidth="1"/>
    <col min="9" max="9" width="82.21875" bestFit="1" customWidth="1"/>
    <col min="10" max="10" width="10.109375" customWidth="1"/>
    <col min="11" max="11" width="9.77734375" customWidth="1"/>
    <col min="12" max="12" width="10.88671875" customWidth="1"/>
  </cols>
  <sheetData>
    <row r="1" spans="1:20" ht="21" customHeight="1" x14ac:dyDescent="0.4">
      <c r="A1" s="30" t="s">
        <v>239</v>
      </c>
      <c r="B1" s="222"/>
      <c r="C1" s="222"/>
      <c r="D1" s="222"/>
      <c r="E1" s="160"/>
      <c r="I1" s="73" t="s">
        <v>239</v>
      </c>
      <c r="J1" s="73"/>
      <c r="K1" s="73"/>
      <c r="L1" s="73"/>
      <c r="T1" s="90" t="s">
        <v>240</v>
      </c>
    </row>
    <row r="2" spans="1:20" ht="15.6" customHeight="1" x14ac:dyDescent="0.3">
      <c r="A2" s="29"/>
      <c r="B2" s="77">
        <v>2023</v>
      </c>
      <c r="C2" s="77">
        <v>2024</v>
      </c>
      <c r="D2" s="77">
        <v>2025</v>
      </c>
      <c r="E2" s="161"/>
      <c r="I2" s="76"/>
      <c r="J2" s="77">
        <v>2023</v>
      </c>
      <c r="K2" s="77">
        <v>2024</v>
      </c>
      <c r="L2" s="77">
        <v>2025</v>
      </c>
    </row>
    <row r="3" spans="1:20" ht="18" customHeight="1" x14ac:dyDescent="0.35">
      <c r="A3" s="223" t="s">
        <v>241</v>
      </c>
      <c r="B3" s="224"/>
      <c r="C3" s="224"/>
      <c r="D3" s="224"/>
      <c r="E3" s="162"/>
      <c r="I3" s="78" t="s">
        <v>241</v>
      </c>
      <c r="J3" s="330"/>
      <c r="K3" s="330"/>
      <c r="L3" s="330" t="s">
        <v>242</v>
      </c>
    </row>
    <row r="4" spans="1:20" ht="15.6" customHeight="1" x14ac:dyDescent="0.3">
      <c r="A4" s="42" t="s">
        <v>170</v>
      </c>
      <c r="B4" s="83">
        <v>4368</v>
      </c>
      <c r="C4" s="83">
        <v>29760</v>
      </c>
      <c r="D4" s="83">
        <v>72880</v>
      </c>
      <c r="E4" s="83"/>
      <c r="G4" s="15"/>
      <c r="H4" s="64"/>
      <c r="I4" s="42" t="s">
        <v>170</v>
      </c>
      <c r="J4" s="91">
        <f>IFERROR(B4/'01_Historical_IS'!E$3," _ ")</f>
        <v>0.16193371394676356</v>
      </c>
      <c r="K4" s="91">
        <f>IFERROR(C4/'01_Historical_IS'!F$3," _ ")</f>
        <v>0.4884934834706674</v>
      </c>
      <c r="L4" s="91">
        <f>IFERROR(D4/'01_Historical_IS'!G$3," _ ")</f>
        <v>0.55848027157712443</v>
      </c>
    </row>
    <row r="5" spans="1:20" ht="15.6" customHeight="1" x14ac:dyDescent="0.3">
      <c r="A5" s="84" t="s">
        <v>243</v>
      </c>
      <c r="B5" s="85"/>
      <c r="C5" s="85"/>
      <c r="D5" s="85"/>
      <c r="E5" s="85"/>
      <c r="G5" s="16"/>
      <c r="H5" s="65"/>
      <c r="I5" s="84" t="s">
        <v>243</v>
      </c>
      <c r="J5" s="91">
        <f>IFERROR(B5/'01_Historical_IS'!E$3," _ ")</f>
        <v>0</v>
      </c>
      <c r="K5" s="91">
        <f>IFERROR(C5/'01_Historical_IS'!F$3," _ ")</f>
        <v>0</v>
      </c>
      <c r="L5" s="91">
        <f>IFERROR(D5/'01_Historical_IS'!$G$3," _ ")</f>
        <v>0</v>
      </c>
    </row>
    <row r="6" spans="1:20" ht="15.6" customHeight="1" x14ac:dyDescent="0.3">
      <c r="A6" s="42" t="s">
        <v>244</v>
      </c>
      <c r="B6" s="83">
        <v>2709</v>
      </c>
      <c r="C6" s="83">
        <v>3549</v>
      </c>
      <c r="D6" s="83">
        <v>4737</v>
      </c>
      <c r="E6" s="83"/>
      <c r="G6" s="15"/>
      <c r="H6" s="64"/>
      <c r="I6" s="42" t="s">
        <v>244</v>
      </c>
      <c r="J6" s="91">
        <f>IFERROR(B6/'01_Historical_IS'!E$3," _ ")</f>
        <v>0.10043004374582931</v>
      </c>
      <c r="K6" s="91">
        <f>IFERROR(C6/'01_Historical_IS'!F$3," _ ")</f>
        <v>5.8254817635665278E-2</v>
      </c>
      <c r="L6" s="91">
        <f>IFERROR(D6/'01_Historical_IS'!$G$3," _ ")</f>
        <v>3.629968505023104E-2</v>
      </c>
    </row>
    <row r="7" spans="1:20" ht="15.6" customHeight="1" x14ac:dyDescent="0.3">
      <c r="A7" s="41" t="s">
        <v>245</v>
      </c>
      <c r="B7" s="85">
        <v>1544</v>
      </c>
      <c r="C7" s="85">
        <v>1508</v>
      </c>
      <c r="D7" s="85">
        <v>1864</v>
      </c>
      <c r="E7" s="85"/>
      <c r="G7" s="16"/>
      <c r="H7" s="65"/>
      <c r="I7" s="41" t="s">
        <v>245</v>
      </c>
      <c r="J7" s="91">
        <f>IFERROR(B7/'01_Historical_IS'!E$3," _ ")</f>
        <v>5.7240305479350488E-2</v>
      </c>
      <c r="K7" s="91">
        <f>IFERROR(C7/'01_Historical_IS'!F$3," _ ")</f>
        <v>2.4752962804898065E-2</v>
      </c>
      <c r="L7" s="91">
        <f>IFERROR(D7/'01_Historical_IS'!$G$3," _ ")</f>
        <v>1.4283853268657517E-2</v>
      </c>
    </row>
    <row r="8" spans="1:20" ht="15.6" customHeight="1" x14ac:dyDescent="0.3">
      <c r="A8" s="42" t="s">
        <v>246</v>
      </c>
      <c r="B8" s="83">
        <v>-2164</v>
      </c>
      <c r="C8" s="83">
        <v>-2489</v>
      </c>
      <c r="D8" s="83">
        <v>-4477</v>
      </c>
      <c r="E8" s="91"/>
      <c r="F8" s="91"/>
      <c r="G8" s="91"/>
      <c r="H8" s="64"/>
      <c r="I8" s="42" t="s">
        <v>246</v>
      </c>
      <c r="J8" s="91">
        <f>IFERROR(B8/'01_Historical_IS'!E$3," _ ")</f>
        <v>-8.0225402239193291E-2</v>
      </c>
      <c r="K8" s="91">
        <f>IFERROR(C8/'01_Historical_IS'!F$3," _ ")</f>
        <v>-4.08555201733364E-2</v>
      </c>
      <c r="L8" s="91">
        <f>IFERROR(D8/'01_Historical_IS'!$G$3," _ ")</f>
        <v>-3.4307302083572799E-2</v>
      </c>
    </row>
    <row r="9" spans="1:20" ht="15.6" customHeight="1" x14ac:dyDescent="0.3">
      <c r="A9" s="41" t="s">
        <v>247</v>
      </c>
      <c r="B9" s="85">
        <v>45</v>
      </c>
      <c r="C9" s="85">
        <v>-238</v>
      </c>
      <c r="D9" s="85">
        <v>-1030</v>
      </c>
      <c r="E9" s="85"/>
      <c r="G9" s="16"/>
      <c r="H9" s="65"/>
      <c r="I9" s="41" t="s">
        <v>247</v>
      </c>
      <c r="J9" s="91">
        <f>IFERROR(B9/'01_Historical_IS'!E$3," _ ")</f>
        <v>1.6682731519240749E-3</v>
      </c>
      <c r="K9" s="91">
        <f>IFERROR(C9/'01_Historical_IS'!F$3," _ ")</f>
        <v>-3.9066347132398803E-3</v>
      </c>
      <c r="L9" s="91">
        <f>IFERROR(D9/'01_Historical_IS'!$G$3," _ ")</f>
        <v>-7.8929017525307087E-3</v>
      </c>
    </row>
    <row r="10" spans="1:20" ht="15.6" customHeight="1" x14ac:dyDescent="0.3">
      <c r="A10" s="42" t="s">
        <v>158</v>
      </c>
      <c r="B10" s="83">
        <v>1353</v>
      </c>
      <c r="C10" s="83">
        <v>0</v>
      </c>
      <c r="D10" s="83">
        <v>0</v>
      </c>
      <c r="E10" s="83"/>
      <c r="G10" s="15"/>
      <c r="H10" s="64"/>
      <c r="I10" s="42" t="s">
        <v>158</v>
      </c>
      <c r="J10" s="91">
        <f>IFERROR(B10/'01_Historical_IS'!E$3," _ ")</f>
        <v>5.015941276785052E-2</v>
      </c>
      <c r="K10" s="91">
        <f>IFERROR(C10/'01_Historical_IS'!F$3," _ ")</f>
        <v>0</v>
      </c>
      <c r="L10" s="91">
        <f>IFERROR(D10/'01_Historical_IS'!$G$3," _ ")</f>
        <v>0</v>
      </c>
    </row>
    <row r="11" spans="1:20" ht="15.6" customHeight="1" x14ac:dyDescent="0.3">
      <c r="A11" s="41" t="s">
        <v>183</v>
      </c>
      <c r="B11" s="85">
        <v>-7</v>
      </c>
      <c r="C11" s="85">
        <v>-278</v>
      </c>
      <c r="D11" s="85">
        <v>-502</v>
      </c>
      <c r="E11" s="85"/>
      <c r="F11" s="108"/>
      <c r="G11" s="16"/>
      <c r="H11" s="65"/>
      <c r="I11" s="41" t="s">
        <v>183</v>
      </c>
      <c r="J11" s="91">
        <f>IFERROR(B11/'01_Historical_IS'!E$3," _ ")</f>
        <v>-2.5950915696596724E-4</v>
      </c>
      <c r="K11" s="91">
        <f>IFERROR(C11/'01_Historical_IS'!F$3," _ ")</f>
        <v>-4.5632119759692726E-3</v>
      </c>
      <c r="L11" s="91">
        <f>IFERROR(D11/'01_Historical_IS'!$G$3," _ ")</f>
        <v>-3.8468317279324428E-3</v>
      </c>
    </row>
    <row r="12" spans="1:20" ht="15.6" customHeight="1" x14ac:dyDescent="0.3">
      <c r="A12" s="43" t="s">
        <v>248</v>
      </c>
      <c r="B12" s="83"/>
      <c r="C12" s="83"/>
      <c r="D12" s="83"/>
      <c r="E12" s="83"/>
      <c r="G12" s="15"/>
      <c r="H12" s="64"/>
      <c r="I12" s="42" t="s">
        <v>248</v>
      </c>
      <c r="J12" s="91">
        <f>IFERROR(B12/'01_Historical_IS'!E$3," _ ")</f>
        <v>0</v>
      </c>
      <c r="K12" s="91">
        <f>IFERROR(C12/'01_Historical_IS'!F$3," _ ")</f>
        <v>0</v>
      </c>
      <c r="L12" s="91">
        <f>IFERROR(D12/'01_Historical_IS'!$G$3," _ ")</f>
        <v>0</v>
      </c>
    </row>
    <row r="13" spans="1:20" ht="15.6" customHeight="1" x14ac:dyDescent="0.3">
      <c r="A13" s="41" t="s">
        <v>249</v>
      </c>
      <c r="B13" s="85">
        <v>822</v>
      </c>
      <c r="C13" s="85">
        <v>-6172</v>
      </c>
      <c r="D13" s="85">
        <v>-13063</v>
      </c>
      <c r="E13" s="85"/>
      <c r="G13" s="28"/>
      <c r="H13" s="63"/>
      <c r="I13" s="41" t="s">
        <v>249</v>
      </c>
      <c r="J13" s="91">
        <f>IFERROR(B13/'01_Historical_IS'!E$3," _ ")</f>
        <v>3.0473789575146439E-2</v>
      </c>
      <c r="K13" s="91">
        <f>IFERROR(C13/'01_Historical_IS'!F$3," _ ")</f>
        <v>-0.10130987163914514</v>
      </c>
      <c r="L13" s="91">
        <f>IFERROR(D13/'01_Historical_IS'!$G$3," _ ")</f>
        <v>-0.10010191805175597</v>
      </c>
    </row>
    <row r="14" spans="1:20" ht="15.6" customHeight="1" x14ac:dyDescent="0.3">
      <c r="A14" s="42" t="s">
        <v>250</v>
      </c>
      <c r="B14" s="83">
        <v>-2554</v>
      </c>
      <c r="C14" s="83">
        <v>-98</v>
      </c>
      <c r="D14" s="83">
        <v>-4781</v>
      </c>
      <c r="E14" s="83"/>
      <c r="G14" s="15"/>
      <c r="H14" s="64"/>
      <c r="I14" s="42" t="s">
        <v>250</v>
      </c>
      <c r="J14" s="91">
        <f>IFERROR(B14/'01_Historical_IS'!E$3," _ ")</f>
        <v>-9.4683769555868616E-2</v>
      </c>
      <c r="K14" s="91">
        <f>IFERROR(C14/'01_Historical_IS'!F$3," _ ")</f>
        <v>-1.6086142936870096E-3</v>
      </c>
      <c r="L14" s="91">
        <f>IFERROR(D14/'01_Historical_IS'!$G$3," _ ")</f>
        <v>-3.6636857552280896E-2</v>
      </c>
    </row>
    <row r="15" spans="1:20" ht="15.6" customHeight="1" x14ac:dyDescent="0.3">
      <c r="A15" s="41" t="s">
        <v>251</v>
      </c>
      <c r="B15" s="85">
        <v>-1517</v>
      </c>
      <c r="C15" s="85">
        <v>-1522</v>
      </c>
      <c r="D15" s="85">
        <v>-395</v>
      </c>
      <c r="E15" s="85"/>
      <c r="G15" s="16"/>
      <c r="H15" s="65"/>
      <c r="I15" s="41" t="s">
        <v>251</v>
      </c>
      <c r="J15" s="91">
        <f>IFERROR(B15/'01_Historical_IS'!E$3," _ ")</f>
        <v>-5.6239341588196039E-2</v>
      </c>
      <c r="K15" s="91">
        <f>IFERROR(C15/'01_Historical_IS'!F$3," _ ")</f>
        <v>-2.4982764846853352E-2</v>
      </c>
      <c r="L15" s="91">
        <f>IFERROR(D15/'01_Historical_IS'!$G$3," _ ")</f>
        <v>-3.0268895070384759E-3</v>
      </c>
    </row>
    <row r="16" spans="1:20" ht="15.6" customHeight="1" x14ac:dyDescent="0.3">
      <c r="A16" s="42" t="s">
        <v>252</v>
      </c>
      <c r="B16" s="83">
        <v>-551</v>
      </c>
      <c r="C16" s="83">
        <v>1531</v>
      </c>
      <c r="D16" s="83">
        <v>3357</v>
      </c>
      <c r="E16" s="83"/>
      <c r="G16" s="15"/>
      <c r="H16" s="64"/>
      <c r="I16" s="42" t="s">
        <v>252</v>
      </c>
      <c r="J16" s="91">
        <f>IFERROR(B16/'01_Historical_IS'!E$3," _ ")</f>
        <v>-2.0427077926892565E-2</v>
      </c>
      <c r="K16" s="91">
        <f>IFERROR(C16/'01_Historical_IS'!F$3," _ ")</f>
        <v>2.5130494730967467E-2</v>
      </c>
      <c r="L16" s="91">
        <f>IFERROR(D16/'01_Historical_IS'!$G$3," _ ")</f>
        <v>2.5724729304121934E-2</v>
      </c>
    </row>
    <row r="17" spans="1:12" ht="15.6" customHeight="1" x14ac:dyDescent="0.3">
      <c r="A17" s="41" t="s">
        <v>253</v>
      </c>
      <c r="B17" s="85">
        <v>1341</v>
      </c>
      <c r="C17" s="85">
        <v>2025</v>
      </c>
      <c r="D17" s="85">
        <v>4278</v>
      </c>
      <c r="E17" s="85"/>
      <c r="G17" s="16"/>
      <c r="H17" s="65"/>
      <c r="I17" s="41" t="s">
        <v>253</v>
      </c>
      <c r="J17" s="91">
        <f>IFERROR(B17/'01_Historical_IS'!E$3," _ ")</f>
        <v>4.9714539927337438E-2</v>
      </c>
      <c r="K17" s="91">
        <f>IFERROR(C17/'01_Historical_IS'!F$3," _ ")</f>
        <v>3.3239223925675451E-2</v>
      </c>
      <c r="L17" s="91">
        <f>IFERROR(D17/'01_Historical_IS'!$G$3," _ ")</f>
        <v>3.2782362812938226E-2</v>
      </c>
    </row>
    <row r="18" spans="1:12" ht="15.6" customHeight="1" x14ac:dyDescent="0.3">
      <c r="A18" s="42" t="s">
        <v>254</v>
      </c>
      <c r="B18" s="83">
        <v>252</v>
      </c>
      <c r="C18" s="83">
        <v>514</v>
      </c>
      <c r="D18" s="83">
        <v>1221</v>
      </c>
      <c r="E18" s="83"/>
      <c r="G18" s="15"/>
      <c r="H18" s="64"/>
      <c r="I18" s="42" t="s">
        <v>254</v>
      </c>
      <c r="J18" s="91">
        <f>IFERROR(B18/'01_Historical_IS'!E$3," _ ")</f>
        <v>9.3423296507748194E-3</v>
      </c>
      <c r="K18" s="91">
        <f>IFERROR(C18/'01_Historical_IS'!F$3," _ ")</f>
        <v>8.4370178260726823E-3</v>
      </c>
      <c r="L18" s="91">
        <f>IFERROR(D18/'01_Historical_IS'!$G$3," _ ")</f>
        <v>9.3565369318834909E-3</v>
      </c>
    </row>
    <row r="19" spans="1:12" s="1" customFormat="1" ht="15.6" customHeight="1" x14ac:dyDescent="0.3">
      <c r="A19" s="46" t="s">
        <v>255</v>
      </c>
      <c r="B19" s="82">
        <v>5641</v>
      </c>
      <c r="C19" s="82">
        <v>28090</v>
      </c>
      <c r="D19" s="82">
        <v>64089</v>
      </c>
      <c r="E19" s="163"/>
      <c r="G19" s="28"/>
      <c r="H19" s="63"/>
      <c r="I19" s="46" t="s">
        <v>255</v>
      </c>
      <c r="J19" s="91">
        <f>IFERROR(B19/'01_Historical_IS'!E$3," _ ")</f>
        <v>0.20912730777786015</v>
      </c>
      <c r="K19" s="91">
        <f>IFERROR(C19/'01_Historical_IS'!F$3," _ ")</f>
        <v>0.46108138275171529</v>
      </c>
      <c r="L19" s="91">
        <f>IFERROR(D19/'01_Historical_IS'!$G$3," _ ")</f>
        <v>0.49111473826984531</v>
      </c>
    </row>
    <row r="20" spans="1:12" ht="18" customHeight="1" x14ac:dyDescent="0.35">
      <c r="A20" s="3" t="s">
        <v>256</v>
      </c>
      <c r="B20" s="225"/>
      <c r="C20" s="225"/>
      <c r="D20" s="225"/>
      <c r="E20" s="164"/>
      <c r="G20" s="15"/>
      <c r="H20" s="64"/>
      <c r="I20" s="80" t="s">
        <v>256</v>
      </c>
      <c r="J20" s="91">
        <f>IFERROR(B20/'01_Historical_IS'!E$3," _ ")</f>
        <v>0</v>
      </c>
      <c r="K20" s="91">
        <f>IFERROR(C20/'01_Historical_IS'!F$3," _ ")</f>
        <v>0</v>
      </c>
      <c r="L20" s="91">
        <f>IFERROR(D20/'01_Historical_IS'!$G$3," _ ")</f>
        <v>0</v>
      </c>
    </row>
    <row r="21" spans="1:12" ht="15.6" customHeight="1" x14ac:dyDescent="0.3">
      <c r="A21" s="41" t="s">
        <v>257</v>
      </c>
      <c r="B21" s="85">
        <v>19425</v>
      </c>
      <c r="C21" s="85">
        <v>9732</v>
      </c>
      <c r="D21" s="85">
        <v>11195</v>
      </c>
      <c r="E21" s="85"/>
      <c r="G21" s="16"/>
      <c r="H21" s="65"/>
      <c r="I21" s="41" t="s">
        <v>257</v>
      </c>
      <c r="J21" s="91">
        <f>IFERROR(B21/'01_Historical_IS'!E$3," _ ")</f>
        <v>0.72013791058055909</v>
      </c>
      <c r="K21" s="91">
        <f>IFERROR(C21/'01_Historical_IS'!F$3," _ ")</f>
        <v>0.159745248022061</v>
      </c>
      <c r="L21" s="91">
        <f>IFERROR(D21/'01_Historical_IS'!$G$3," _ ")</f>
        <v>8.5787412737457561E-2</v>
      </c>
    </row>
    <row r="22" spans="1:12" ht="15.6" customHeight="1" x14ac:dyDescent="0.3">
      <c r="A22" s="42" t="s">
        <v>258</v>
      </c>
      <c r="B22" s="83">
        <v>1806</v>
      </c>
      <c r="C22" s="83">
        <v>50</v>
      </c>
      <c r="D22" s="83">
        <v>495</v>
      </c>
      <c r="E22" s="83"/>
      <c r="G22" s="15"/>
      <c r="H22" s="64"/>
      <c r="I22" s="42" t="s">
        <v>258</v>
      </c>
      <c r="J22" s="91">
        <f>IFERROR(B22/'01_Historical_IS'!E$3," _ ")</f>
        <v>6.6953362497219546E-2</v>
      </c>
      <c r="K22" s="91">
        <f>IFERROR(C22/'01_Historical_IS'!F$3," _ ")</f>
        <v>8.2072157841173957E-4</v>
      </c>
      <c r="L22" s="91">
        <f>IFERROR(D22/'01_Historical_IS'!$G$3," _ ")</f>
        <v>3.793190648060875E-3</v>
      </c>
    </row>
    <row r="23" spans="1:12" ht="15.6" customHeight="1" x14ac:dyDescent="0.3">
      <c r="A23" s="41" t="s">
        <v>259</v>
      </c>
      <c r="B23" s="85">
        <v>8</v>
      </c>
      <c r="C23" s="85">
        <v>1</v>
      </c>
      <c r="D23" s="85">
        <v>171</v>
      </c>
      <c r="E23" s="85"/>
      <c r="G23" s="16"/>
      <c r="H23" s="65"/>
      <c r="I23" s="41" t="s">
        <v>259</v>
      </c>
      <c r="J23" s="91">
        <f>IFERROR(B23/'01_Historical_IS'!E$3," _ ")</f>
        <v>2.9658189367539109E-4</v>
      </c>
      <c r="K23" s="91">
        <f>IFERROR(C23/'01_Historical_IS'!F$3," _ ")</f>
        <v>1.6414431568234792E-5</v>
      </c>
      <c r="L23" s="91">
        <f>IFERROR(D23/'01_Historical_IS'!$G$3," _ ")</f>
        <v>1.3103749511483023E-3</v>
      </c>
    </row>
    <row r="24" spans="1:12" ht="15.6" customHeight="1" x14ac:dyDescent="0.3">
      <c r="A24" s="43" t="s">
        <v>260</v>
      </c>
      <c r="B24" s="113">
        <v>-11897</v>
      </c>
      <c r="C24" s="113">
        <v>-18211</v>
      </c>
      <c r="D24" s="113">
        <v>-26575</v>
      </c>
      <c r="E24" s="113"/>
      <c r="G24" s="15"/>
      <c r="H24" s="64"/>
      <c r="I24" s="42" t="s">
        <v>260</v>
      </c>
      <c r="J24" s="91">
        <f>IFERROR(B24/'01_Historical_IS'!E$3," _ ")</f>
        <v>-0.44105434863201604</v>
      </c>
      <c r="K24" s="91">
        <f>IFERROR(C24/'01_Historical_IS'!F$3," _ ")</f>
        <v>-0.2989232132891238</v>
      </c>
      <c r="L24" s="91">
        <f>IFERROR(D24/'01_Historical_IS'!$G$3," _ ")</f>
        <v>-0.20364452822670254</v>
      </c>
    </row>
    <row r="25" spans="1:12" ht="31.2" customHeight="1" x14ac:dyDescent="0.3">
      <c r="A25" s="111" t="s">
        <v>261</v>
      </c>
      <c r="B25" s="112">
        <v>-1833</v>
      </c>
      <c r="C25" s="112">
        <v>-1069</v>
      </c>
      <c r="D25" s="112">
        <v>-3236</v>
      </c>
      <c r="E25" s="112"/>
      <c r="G25" s="16"/>
      <c r="H25" s="65"/>
      <c r="I25" s="41" t="s">
        <v>262</v>
      </c>
      <c r="J25" s="91">
        <f>IFERROR(B25/'01_Historical_IS'!E$3," _ ")</f>
        <v>-6.7954326388373995E-2</v>
      </c>
      <c r="K25" s="91">
        <f>IFERROR(C25/'01_Historical_IS'!F$3," _ ")</f>
        <v>-1.7547027346442992E-2</v>
      </c>
      <c r="L25" s="91">
        <f>IFERROR(D25/'01_Historical_IS'!$G$3," _ ")</f>
        <v>-2.4797504923484832E-2</v>
      </c>
    </row>
    <row r="26" spans="1:12" ht="15.6" customHeight="1" x14ac:dyDescent="0.3">
      <c r="A26" s="42" t="s">
        <v>263</v>
      </c>
      <c r="B26" s="83">
        <v>-85</v>
      </c>
      <c r="C26" s="83">
        <v>-862</v>
      </c>
      <c r="D26" s="83">
        <v>-1486</v>
      </c>
      <c r="E26" s="83"/>
      <c r="G26" s="15"/>
      <c r="H26" s="64"/>
      <c r="I26" s="42" t="s">
        <v>263</v>
      </c>
      <c r="J26" s="91">
        <f>IFERROR(B26/'01_Historical_IS'!E$3," _ ")</f>
        <v>-3.1511826203010308E-3</v>
      </c>
      <c r="K26" s="91">
        <f>IFERROR(C26/'01_Historical_IS'!F$3," _ ")</f>
        <v>-1.414924001181839E-2</v>
      </c>
      <c r="L26" s="91">
        <f>IFERROR(D26/'01_Historical_IS'!$G$3," _ ")</f>
        <v>-1.1387234955592849E-2</v>
      </c>
    </row>
    <row r="27" spans="1:12" ht="15.6" customHeight="1" x14ac:dyDescent="0.3">
      <c r="A27" s="41" t="s">
        <v>264</v>
      </c>
      <c r="B27" s="85">
        <v>-49</v>
      </c>
      <c r="C27" s="85">
        <v>-83</v>
      </c>
      <c r="D27" s="85">
        <v>-1007</v>
      </c>
      <c r="E27" s="85"/>
      <c r="G27" s="28"/>
      <c r="H27" s="63"/>
      <c r="I27" s="41" t="s">
        <v>264</v>
      </c>
      <c r="J27" s="91">
        <f>IFERROR(B27/'01_Historical_IS'!E$3," _ ")</f>
        <v>-1.8165640987617706E-3</v>
      </c>
      <c r="K27" s="91">
        <f>IFERROR(C27/'01_Historical_IS'!F$3," _ ")</f>
        <v>-1.3623978201634877E-3</v>
      </c>
      <c r="L27" s="91">
        <f>IFERROR(D27/'01_Historical_IS'!$G$3," _ ")</f>
        <v>-7.7166524900955579E-3</v>
      </c>
    </row>
    <row r="28" spans="1:12" ht="15.6" customHeight="1" x14ac:dyDescent="0.3">
      <c r="A28" s="42" t="s">
        <v>183</v>
      </c>
      <c r="B28" s="83">
        <v>0</v>
      </c>
      <c r="C28" s="83">
        <v>-124</v>
      </c>
      <c r="D28" s="83">
        <v>22</v>
      </c>
      <c r="E28" s="83"/>
      <c r="G28" s="15"/>
      <c r="H28" s="64"/>
      <c r="I28" s="42" t="s">
        <v>183</v>
      </c>
      <c r="J28" s="91">
        <f>IFERROR(B28/'01_Historical_IS'!E$3," _ ")</f>
        <v>0</v>
      </c>
      <c r="K28" s="91">
        <f>IFERROR(C28/'01_Historical_IS'!F$3," _ ")</f>
        <v>-2.0353895144611142E-3</v>
      </c>
      <c r="L28" s="91">
        <f>IFERROR(D28/'01_Historical_IS'!$G$3," _ ")</f>
        <v>1.6858625102492779E-4</v>
      </c>
    </row>
    <row r="29" spans="1:12" s="1" customFormat="1" ht="15.6" customHeight="1" x14ac:dyDescent="0.3">
      <c r="A29" s="46" t="s">
        <v>265</v>
      </c>
      <c r="B29" s="82">
        <v>7375</v>
      </c>
      <c r="C29" s="82">
        <v>-10566</v>
      </c>
      <c r="D29" s="82">
        <v>-20421</v>
      </c>
      <c r="E29" s="163"/>
      <c r="G29" s="16"/>
      <c r="H29" s="65"/>
      <c r="I29" s="46" t="s">
        <v>265</v>
      </c>
      <c r="J29" s="91">
        <f>IFERROR(B29/'01_Historical_IS'!E$3," _ ")</f>
        <v>0.27341143323200118</v>
      </c>
      <c r="K29" s="91">
        <f>IFERROR(C29/'01_Historical_IS'!F$3," _ ")</f>
        <v>-0.17343488394996881</v>
      </c>
      <c r="L29" s="91">
        <f>IFERROR(D29/'01_Historical_IS'!$G$3," _ ")</f>
        <v>-0.15648635600818409</v>
      </c>
    </row>
    <row r="30" spans="1:12" ht="18" customHeight="1" x14ac:dyDescent="0.35">
      <c r="A30" s="3" t="s">
        <v>266</v>
      </c>
      <c r="B30" s="225"/>
      <c r="C30" s="225"/>
      <c r="D30" s="225"/>
      <c r="E30" s="164"/>
      <c r="G30" s="15"/>
      <c r="H30" s="64"/>
      <c r="I30" s="80" t="s">
        <v>266</v>
      </c>
      <c r="J30" s="91">
        <f>IFERROR(B30/'01_Historical_IS'!E$3," _ ")</f>
        <v>0</v>
      </c>
      <c r="K30" s="91">
        <f>IFERROR(C30/'01_Historical_IS'!F$3," _ ")</f>
        <v>0</v>
      </c>
      <c r="L30" s="91">
        <f>IFERROR(D30/'01_Historical_IS'!$G$3," _ ")</f>
        <v>0</v>
      </c>
    </row>
    <row r="31" spans="1:12" ht="15.6" customHeight="1" x14ac:dyDescent="0.3">
      <c r="A31" s="41" t="s">
        <v>267</v>
      </c>
      <c r="B31" s="85">
        <v>355</v>
      </c>
      <c r="C31" s="85">
        <v>403</v>
      </c>
      <c r="D31" s="85">
        <v>490</v>
      </c>
      <c r="E31" s="85"/>
      <c r="G31" s="16"/>
      <c r="H31" s="65"/>
      <c r="I31" s="41" t="s">
        <v>267</v>
      </c>
      <c r="J31" s="91">
        <f>IFERROR(B31/'01_Historical_IS'!E$3," _ ")</f>
        <v>1.316082153184548E-2</v>
      </c>
      <c r="K31" s="91">
        <f>IFERROR(C31/'01_Historical_IS'!F$3," _ ")</f>
        <v>6.6150159219986208E-3</v>
      </c>
      <c r="L31" s="91">
        <f>IFERROR(D31/'01_Historical_IS'!$G$3," _ ")</f>
        <v>3.754875591009755E-3</v>
      </c>
    </row>
    <row r="32" spans="1:12" ht="15.6" customHeight="1" x14ac:dyDescent="0.3">
      <c r="A32" s="43" t="s">
        <v>268</v>
      </c>
      <c r="B32" s="83">
        <v>-10039</v>
      </c>
      <c r="C32" s="83">
        <v>-9533</v>
      </c>
      <c r="D32" s="113">
        <v>-33706</v>
      </c>
      <c r="E32" s="83"/>
      <c r="G32" s="15"/>
      <c r="H32" s="64"/>
      <c r="I32" s="42" t="s">
        <v>269</v>
      </c>
      <c r="J32" s="91">
        <f>IFERROR(B32/'01_Historical_IS'!E$3," _ ")</f>
        <v>-0.37217320382590641</v>
      </c>
      <c r="K32" s="91">
        <f>IFERROR(C32/'01_Historical_IS'!F$3," _ ")</f>
        <v>-0.15647877613998226</v>
      </c>
      <c r="L32" s="91">
        <f>IFERROR(D32/'01_Historical_IS'!$G$3," _ ")</f>
        <v>-0.25828946259300978</v>
      </c>
    </row>
    <row r="33" spans="1:12" ht="15.6" customHeight="1" x14ac:dyDescent="0.3">
      <c r="A33" s="41" t="s">
        <v>270</v>
      </c>
      <c r="B33" s="85">
        <v>-1475</v>
      </c>
      <c r="C33" s="85">
        <v>-2783</v>
      </c>
      <c r="D33" s="85">
        <v>-6930</v>
      </c>
      <c r="E33" s="85"/>
      <c r="G33" s="16"/>
      <c r="H33" s="65"/>
      <c r="I33" s="41" t="s">
        <v>270</v>
      </c>
      <c r="J33" s="91">
        <f>IFERROR(B33/'01_Historical_IS'!E$3," _ ")</f>
        <v>-5.4682286646400236E-2</v>
      </c>
      <c r="K33" s="91">
        <f>IFERROR(C33/'01_Historical_IS'!F$3," _ ")</f>
        <v>-4.5681363054397427E-2</v>
      </c>
      <c r="L33" s="91">
        <f>IFERROR(D33/'01_Historical_IS'!$G$3," _ ")</f>
        <v>-5.3104669072852252E-2</v>
      </c>
    </row>
    <row r="34" spans="1:12" ht="15.6" customHeight="1" x14ac:dyDescent="0.3">
      <c r="A34" s="42" t="s">
        <v>271</v>
      </c>
      <c r="B34" s="83">
        <v>0</v>
      </c>
      <c r="C34" s="83">
        <v>-1250</v>
      </c>
      <c r="D34" s="83">
        <v>-1250</v>
      </c>
      <c r="E34" s="83"/>
      <c r="G34" s="15"/>
      <c r="H34" s="64"/>
      <c r="I34" s="42" t="s">
        <v>271</v>
      </c>
      <c r="J34" s="91">
        <f>IFERROR(B34/'01_Historical_IS'!E$3," _ ")</f>
        <v>0</v>
      </c>
      <c r="K34" s="91">
        <f>IFERROR(C34/'01_Historical_IS'!F$3," _ ")</f>
        <v>-2.0518039460293489E-2</v>
      </c>
      <c r="L34" s="91">
        <f>IFERROR(D34/'01_Historical_IS'!$G$3," _ ")</f>
        <v>-9.578764262779987E-3</v>
      </c>
    </row>
    <row r="35" spans="1:12" ht="15.6" customHeight="1" x14ac:dyDescent="0.3">
      <c r="A35" s="41" t="s">
        <v>272</v>
      </c>
      <c r="B35" s="85">
        <v>-398</v>
      </c>
      <c r="C35" s="85">
        <v>-395</v>
      </c>
      <c r="D35" s="85">
        <v>-834</v>
      </c>
      <c r="E35" s="85"/>
      <c r="G35" s="16"/>
      <c r="H35" s="65"/>
      <c r="I35" s="41" t="s">
        <v>272</v>
      </c>
      <c r="J35" s="91">
        <f>IFERROR(B35/'01_Historical_IS'!E$3," _ ")</f>
        <v>-1.4754949210350709E-2</v>
      </c>
      <c r="K35" s="91">
        <f>IFERROR(C35/'01_Historical_IS'!F$3," _ ")</f>
        <v>-6.4837004694527425E-3</v>
      </c>
      <c r="L35" s="91">
        <f>IFERROR(D35/'01_Historical_IS'!$G$3," _ ")</f>
        <v>-6.3909515161268077E-3</v>
      </c>
    </row>
    <row r="36" spans="1:12" ht="15.6" customHeight="1" x14ac:dyDescent="0.3">
      <c r="A36" s="186" t="s">
        <v>273</v>
      </c>
      <c r="B36" s="83">
        <v>-58</v>
      </c>
      <c r="C36" s="83">
        <v>-74</v>
      </c>
      <c r="D36" s="83">
        <v>-129</v>
      </c>
      <c r="E36" s="83"/>
      <c r="F36" s="16"/>
      <c r="G36" s="15"/>
      <c r="H36" s="64"/>
      <c r="I36" s="42" t="s">
        <v>274</v>
      </c>
      <c r="J36" s="91">
        <f>IFERROR(B36/'01_Historical_IS'!E$3," _ ")</f>
        <v>-2.1502187291465857E-3</v>
      </c>
      <c r="K36" s="91">
        <f>IFERROR(C36/'01_Historical_IS'!F$3," _ ")</f>
        <v>-1.2146679360493745E-3</v>
      </c>
      <c r="L36" s="91">
        <f>IFERROR(D36/'01_Historical_IS'!$G$3," _ ")</f>
        <v>-9.8852847191889461E-4</v>
      </c>
    </row>
    <row r="37" spans="1:12" ht="15.6" customHeight="1" x14ac:dyDescent="0.3">
      <c r="A37" s="41" t="s">
        <v>183</v>
      </c>
      <c r="B37" s="85">
        <v>-2</v>
      </c>
      <c r="C37" s="85">
        <v>-1</v>
      </c>
      <c r="D37" s="85">
        <v>0</v>
      </c>
      <c r="E37" s="85"/>
      <c r="G37" s="16"/>
      <c r="H37" s="65"/>
      <c r="I37" s="41" t="s">
        <v>183</v>
      </c>
      <c r="J37" s="91">
        <f>IFERROR(B37/'01_Historical_IS'!E$3," _ ")</f>
        <v>-7.4145473418847773E-5</v>
      </c>
      <c r="K37" s="91">
        <f>IFERROR(C37/'01_Historical_IS'!F$3," _ ")</f>
        <v>-1.6414431568234792E-5</v>
      </c>
      <c r="L37" s="91">
        <f>IFERROR(D37/'01_Historical_IS'!$G$3," _ ")</f>
        <v>0</v>
      </c>
    </row>
    <row r="38" spans="1:12" s="1" customFormat="1" ht="15.6" customHeight="1" x14ac:dyDescent="0.3">
      <c r="A38" s="6" t="s">
        <v>275</v>
      </c>
      <c r="B38" s="86">
        <v>-11617</v>
      </c>
      <c r="C38" s="86">
        <v>-13633</v>
      </c>
      <c r="D38" s="86">
        <v>-42359</v>
      </c>
      <c r="E38" s="165"/>
      <c r="I38" s="6" t="s">
        <v>275</v>
      </c>
      <c r="J38" s="91">
        <f>IFERROR(B38/'01_Historical_IS'!E$3," _ ")</f>
        <v>-0.43067398235337734</v>
      </c>
      <c r="K38" s="91">
        <f>IFERROR(C38/'01_Historical_IS'!F$3," _ ")</f>
        <v>-0.22377794556974492</v>
      </c>
      <c r="L38" s="91">
        <f>IFERROR(D38/'01_Historical_IS'!$G$3," _ ")</f>
        <v>-0.32459750032567797</v>
      </c>
    </row>
    <row r="39" spans="1:12" ht="15.6" customHeight="1" x14ac:dyDescent="0.3">
      <c r="A39" s="109" t="s">
        <v>276</v>
      </c>
      <c r="B39" s="110">
        <v>1399</v>
      </c>
      <c r="C39" s="110">
        <v>3891</v>
      </c>
      <c r="D39" s="110">
        <v>1309</v>
      </c>
      <c r="E39" s="163"/>
      <c r="I39" s="41" t="s">
        <v>277</v>
      </c>
      <c r="J39" s="91">
        <f>IFERROR(B39/'01_Historical_IS'!E$3," _ ")</f>
        <v>5.1864758656484024E-2</v>
      </c>
      <c r="K39" s="91">
        <f>IFERROR(C39/'01_Historical_IS'!F$3," _ ")</f>
        <v>6.3868553232001579E-2</v>
      </c>
      <c r="L39" s="91">
        <f>IFERROR(D39/'01_Historical_IS'!$G$3," _ ")</f>
        <v>1.0030881935983203E-2</v>
      </c>
    </row>
    <row r="40" spans="1:12" ht="15.6" customHeight="1" x14ac:dyDescent="0.3">
      <c r="A40" s="42" t="s">
        <v>278</v>
      </c>
      <c r="B40" s="83">
        <v>1990</v>
      </c>
      <c r="C40" s="83">
        <v>3389</v>
      </c>
      <c r="D40" s="83">
        <v>7280</v>
      </c>
      <c r="E40" s="83"/>
      <c r="I40" s="42" t="s">
        <v>278</v>
      </c>
      <c r="J40" s="91">
        <f>IFERROR(B40/'01_Historical_IS'!E$3," _ ")</f>
        <v>7.3774746051753534E-2</v>
      </c>
      <c r="K40" s="91">
        <f>IFERROR(C40/'01_Historical_IS'!F$3," _ ")</f>
        <v>5.5628508584747709E-2</v>
      </c>
      <c r="L40" s="91">
        <f>IFERROR(D40/'01_Historical_IS'!$G$3," _ ")</f>
        <v>5.5786723066430649E-2</v>
      </c>
    </row>
    <row r="41" spans="1:12" ht="15.6" customHeight="1" x14ac:dyDescent="0.3">
      <c r="A41" s="41" t="s">
        <v>279</v>
      </c>
      <c r="B41" s="85">
        <v>3389</v>
      </c>
      <c r="C41" s="85">
        <v>7280</v>
      </c>
      <c r="D41" s="85">
        <v>8589</v>
      </c>
      <c r="E41" s="85"/>
      <c r="I41" s="41" t="s">
        <v>279</v>
      </c>
      <c r="J41" s="91">
        <f>IFERROR(B41/'01_Historical_IS'!E$3," _ ")</f>
        <v>0.12563950470823756</v>
      </c>
      <c r="K41" s="91">
        <f>IFERROR(C41/'01_Historical_IS'!F$3," _ ")</f>
        <v>0.11949706181674928</v>
      </c>
      <c r="L41" s="91">
        <f>IFERROR(D41/'01_Historical_IS'!$G$3," _ ")</f>
        <v>6.5817605002413848E-2</v>
      </c>
    </row>
    <row r="42" spans="1:12" ht="15.6" customHeight="1" x14ac:dyDescent="0.3">
      <c r="A42" s="43" t="s">
        <v>280</v>
      </c>
      <c r="B42" s="83"/>
      <c r="C42" s="83"/>
      <c r="D42" s="83"/>
      <c r="E42" s="83"/>
      <c r="I42" s="43" t="s">
        <v>280</v>
      </c>
      <c r="J42" s="91">
        <f>IFERROR(B42/'01_Historical_IS'!E$3," _ ")</f>
        <v>0</v>
      </c>
      <c r="K42" s="91">
        <f>IFERROR(C42/'01_Historical_IS'!F$3," _ ")</f>
        <v>0</v>
      </c>
      <c r="L42" s="91">
        <f>IFERROR(D42/'01_Historical_IS'!$G$3," _ ")</f>
        <v>0</v>
      </c>
    </row>
    <row r="43" spans="1:12" ht="15.6" customHeight="1" x14ac:dyDescent="0.3">
      <c r="A43" s="41" t="s">
        <v>281</v>
      </c>
      <c r="B43" s="85">
        <v>1404</v>
      </c>
      <c r="C43" s="85">
        <v>6549</v>
      </c>
      <c r="D43" s="85">
        <v>15118</v>
      </c>
      <c r="E43" s="85"/>
      <c r="I43" s="41" t="s">
        <v>281</v>
      </c>
      <c r="J43" s="91">
        <f>IFERROR(B43/'01_Historical_IS'!E$3," _ ")</f>
        <v>5.2050122340031139E-2</v>
      </c>
      <c r="K43" s="91">
        <f>IFERROR(C43/'01_Historical_IS'!F$3," _ ")</f>
        <v>0.10749811234036966</v>
      </c>
      <c r="L43" s="91">
        <f>IFERROR(D43/'01_Historical_IS'!$G$3," _ ")</f>
        <v>0.11584940649976627</v>
      </c>
    </row>
    <row r="44" spans="1:12" ht="15.6" customHeight="1" x14ac:dyDescent="0.3">
      <c r="A44" s="42" t="s">
        <v>282</v>
      </c>
      <c r="B44" s="83">
        <v>254</v>
      </c>
      <c r="C44" s="83">
        <v>252</v>
      </c>
      <c r="D44" s="83">
        <v>246</v>
      </c>
      <c r="E44" s="83"/>
      <c r="I44" s="42" t="s">
        <v>282</v>
      </c>
      <c r="J44" s="91">
        <f>IFERROR(B44/'01_Historical_IS'!E$3," _ ")</f>
        <v>9.416475124193668E-3</v>
      </c>
      <c r="K44" s="91">
        <f>IFERROR(C44/'01_Historical_IS'!F$3," _ ")</f>
        <v>4.136436755195168E-3</v>
      </c>
      <c r="L44" s="91">
        <f>IFERROR(D44/'01_Historical_IS'!$G$3," _ ")</f>
        <v>1.8851008069151016E-3</v>
      </c>
    </row>
    <row r="45" spans="1:12" ht="15.6" customHeight="1" x14ac:dyDescent="0.3">
      <c r="A45" s="4" t="s">
        <v>283</v>
      </c>
      <c r="B45" s="87">
        <v>699</v>
      </c>
      <c r="C45" s="87">
        <v>614</v>
      </c>
      <c r="D45" s="87">
        <v>593</v>
      </c>
      <c r="E45" s="63"/>
      <c r="J45" s="91">
        <f>IFERROR(B45/'01_Historical_IS'!E$3," _ ")</f>
        <v>2.5913842959887298E-2</v>
      </c>
      <c r="K45" s="91">
        <f>IFERROR(C45/'01_Historical_IS'!F$3," _ ")</f>
        <v>1.0078460982896163E-2</v>
      </c>
      <c r="L45" s="91">
        <f>IFERROR(D45/'01_Historical_IS'!$G$3," _ ")</f>
        <v>4.5441657662628259E-3</v>
      </c>
    </row>
    <row r="46" spans="1:12" ht="15.6" customHeight="1" x14ac:dyDescent="0.3">
      <c r="B46" s="187"/>
      <c r="C46" s="187"/>
      <c r="D46" s="187"/>
      <c r="E46" s="63"/>
      <c r="J46" s="91"/>
      <c r="K46" s="91"/>
      <c r="L46" s="91"/>
    </row>
    <row r="47" spans="1:12" x14ac:dyDescent="0.3">
      <c r="A47" s="108"/>
      <c r="B47" s="61"/>
      <c r="C47" s="61"/>
      <c r="D47" s="61"/>
      <c r="E47" s="65"/>
    </row>
    <row r="48" spans="1:12" ht="15.6" customHeight="1" x14ac:dyDescent="0.3">
      <c r="A48" s="188"/>
      <c r="B48" s="104">
        <v>2020</v>
      </c>
      <c r="C48" s="104">
        <v>2021</v>
      </c>
      <c r="D48" s="104">
        <v>2022</v>
      </c>
      <c r="E48" s="77">
        <v>2023</v>
      </c>
      <c r="F48" s="77">
        <v>2024</v>
      </c>
      <c r="G48" s="77">
        <v>2025</v>
      </c>
    </row>
    <row r="49" spans="1:7" ht="15.6" customHeight="1" x14ac:dyDescent="0.3">
      <c r="A49" s="188" t="s">
        <v>0</v>
      </c>
      <c r="B49" s="189">
        <v>381</v>
      </c>
      <c r="C49" s="189">
        <v>1098</v>
      </c>
      <c r="D49" s="189">
        <v>1174</v>
      </c>
      <c r="E49" s="65">
        <f>B7</f>
        <v>1544</v>
      </c>
      <c r="F49" s="65">
        <f>C7</f>
        <v>1508</v>
      </c>
      <c r="G49" s="65">
        <f>D7</f>
        <v>1864</v>
      </c>
    </row>
    <row r="50" spans="1:7" ht="15.6" customHeight="1" x14ac:dyDescent="0.3">
      <c r="A50" s="188" t="s">
        <v>283</v>
      </c>
      <c r="B50" s="87">
        <v>25</v>
      </c>
      <c r="C50" s="87">
        <v>612</v>
      </c>
      <c r="D50" s="87">
        <v>563</v>
      </c>
      <c r="E50" s="65">
        <f>B45</f>
        <v>699</v>
      </c>
      <c r="F50" s="65">
        <f>C45</f>
        <v>614</v>
      </c>
      <c r="G50" s="65">
        <f>D45</f>
        <v>593</v>
      </c>
    </row>
    <row r="51" spans="1:7" ht="15.6" customHeight="1" x14ac:dyDescent="0.3">
      <c r="A51" s="190" t="s">
        <v>284</v>
      </c>
      <c r="B51" s="191">
        <f t="shared" ref="B51:G51" si="0">B49-B50</f>
        <v>356</v>
      </c>
      <c r="C51" s="191">
        <f t="shared" si="0"/>
        <v>486</v>
      </c>
      <c r="D51" s="191">
        <f t="shared" si="0"/>
        <v>611</v>
      </c>
      <c r="E51" s="191">
        <f t="shared" si="0"/>
        <v>845</v>
      </c>
      <c r="F51" s="191">
        <f t="shared" si="0"/>
        <v>894</v>
      </c>
      <c r="G51" s="191">
        <f t="shared" si="0"/>
        <v>1271</v>
      </c>
    </row>
    <row r="52" spans="1:7" ht="15.6" customHeight="1" x14ac:dyDescent="0.3">
      <c r="A52" s="188"/>
      <c r="B52" s="87"/>
      <c r="C52" s="87"/>
      <c r="D52" s="87"/>
      <c r="E52" s="87"/>
      <c r="F52" s="87"/>
      <c r="G52" s="87"/>
    </row>
    <row r="53" spans="1:7" x14ac:dyDescent="0.3">
      <c r="B53" s="61"/>
      <c r="C53" s="61"/>
      <c r="D53" s="61"/>
      <c r="E53" s="65"/>
    </row>
    <row r="54" spans="1:7" ht="18" customHeight="1" x14ac:dyDescent="0.35">
      <c r="A54" s="88" t="s">
        <v>285</v>
      </c>
      <c r="B54" s="61"/>
      <c r="C54" s="61"/>
      <c r="D54" s="61"/>
      <c r="E54" s="65"/>
    </row>
    <row r="55" spans="1:7" x14ac:dyDescent="0.3">
      <c r="A55" s="74"/>
      <c r="B55" s="89">
        <v>2023</v>
      </c>
      <c r="C55" s="89">
        <v>2024</v>
      </c>
      <c r="D55" s="89">
        <v>2025</v>
      </c>
      <c r="E55" s="166"/>
    </row>
    <row r="56" spans="1:7" ht="15.6" customHeight="1" x14ac:dyDescent="0.3">
      <c r="A56" s="84" t="s">
        <v>255</v>
      </c>
      <c r="B56" s="85">
        <v>5641</v>
      </c>
      <c r="C56" s="85">
        <v>28090</v>
      </c>
      <c r="D56" s="85">
        <v>64089</v>
      </c>
      <c r="E56" s="85"/>
    </row>
    <row r="57" spans="1:7" ht="15.6" customHeight="1" x14ac:dyDescent="0.3">
      <c r="A57" s="84" t="s">
        <v>265</v>
      </c>
      <c r="B57" s="85">
        <v>7375</v>
      </c>
      <c r="C57" s="85">
        <v>-10566</v>
      </c>
      <c r="D57" s="85">
        <v>-20421</v>
      </c>
      <c r="E57" s="85"/>
    </row>
    <row r="58" spans="1:7" ht="15.6" customHeight="1" x14ac:dyDescent="0.3">
      <c r="A58" s="43" t="s">
        <v>275</v>
      </c>
      <c r="B58" s="83">
        <v>-11617</v>
      </c>
      <c r="C58" s="83">
        <v>-13633</v>
      </c>
      <c r="D58" s="83">
        <v>-42359</v>
      </c>
      <c r="E58" s="83"/>
    </row>
    <row r="59" spans="1:7" ht="15.6" customHeight="1" x14ac:dyDescent="0.3">
      <c r="A59" s="5" t="s">
        <v>286</v>
      </c>
      <c r="B59" s="87">
        <f>B56+B57+B58</f>
        <v>1399</v>
      </c>
      <c r="C59" s="87">
        <f>C56+C57+C58</f>
        <v>3891</v>
      </c>
      <c r="D59" s="87">
        <f>D56+D57+D58</f>
        <v>1309</v>
      </c>
      <c r="E59" s="167"/>
    </row>
    <row r="60" spans="1:7" x14ac:dyDescent="0.3">
      <c r="B60" s="61"/>
      <c r="C60" s="61"/>
      <c r="D60" s="61"/>
      <c r="E60" s="65"/>
    </row>
    <row r="61" spans="1:7" x14ac:dyDescent="0.3">
      <c r="B61" s="61"/>
      <c r="C61" s="61"/>
      <c r="D61" s="61"/>
      <c r="E61" s="65"/>
    </row>
    <row r="62" spans="1:7" x14ac:dyDescent="0.3">
      <c r="B62" s="61"/>
      <c r="C62" s="61"/>
      <c r="D62" s="61"/>
      <c r="E62" s="65"/>
    </row>
    <row r="63" spans="1:7" x14ac:dyDescent="0.3">
      <c r="B63" s="61"/>
      <c r="C63" s="61"/>
      <c r="D63" s="61"/>
      <c r="E63" s="65"/>
    </row>
    <row r="64" spans="1:7" x14ac:dyDescent="0.3">
      <c r="B64" s="61"/>
      <c r="C64" s="61"/>
      <c r="D64" s="61"/>
      <c r="E64" s="65"/>
    </row>
    <row r="65" spans="1:11" x14ac:dyDescent="0.3">
      <c r="A65" s="97" t="s">
        <v>287</v>
      </c>
      <c r="B65" s="98">
        <v>2023</v>
      </c>
      <c r="C65" s="98">
        <v>2024</v>
      </c>
      <c r="D65" s="98">
        <v>2025</v>
      </c>
      <c r="E65" s="168"/>
    </row>
    <row r="66" spans="1:11" ht="15.6" customHeight="1" x14ac:dyDescent="0.3">
      <c r="A66" s="1" t="s">
        <v>255</v>
      </c>
      <c r="B66" s="103">
        <v>5641</v>
      </c>
      <c r="C66" s="103">
        <v>28090</v>
      </c>
      <c r="D66" s="103">
        <v>64089</v>
      </c>
      <c r="E66" s="103"/>
      <c r="H66" s="94"/>
    </row>
    <row r="67" spans="1:11" ht="15.6" customHeight="1" x14ac:dyDescent="0.3">
      <c r="A67" t="s">
        <v>288</v>
      </c>
      <c r="B67" s="180">
        <f>'04a_Projection_IS'!E96/'04a_Projection_IS'!E95</f>
        <v>-4.4726142071274816E-2</v>
      </c>
      <c r="C67" s="180">
        <f>'04a_Projection_IS'!F96/'04a_Projection_IS'!F95</f>
        <v>0.1199952687917677</v>
      </c>
      <c r="D67" s="180">
        <f>'04a_Projection_IS'!G96/'04a_Projection_IS'!G95</f>
        <v>0.13264941803727417</v>
      </c>
      <c r="E67" s="119"/>
    </row>
    <row r="68" spans="1:11" ht="15.6" customHeight="1" x14ac:dyDescent="0.3">
      <c r="A68" t="s">
        <v>289</v>
      </c>
      <c r="B68" s="47">
        <v>262</v>
      </c>
      <c r="C68" s="47">
        <v>257</v>
      </c>
      <c r="D68" s="47">
        <v>247</v>
      </c>
      <c r="E68" s="47"/>
    </row>
    <row r="69" spans="1:11" ht="15.6" customHeight="1" x14ac:dyDescent="0.3">
      <c r="A69" s="101" t="s">
        <v>290</v>
      </c>
      <c r="B69" s="102">
        <f>B68*(1-B67)</f>
        <v>273.71824922267399</v>
      </c>
      <c r="C69" s="102">
        <f>C68*(1-C67)</f>
        <v>226.1612159205157</v>
      </c>
      <c r="D69" s="102">
        <f>D68*(1-D67)</f>
        <v>214.23559374479328</v>
      </c>
      <c r="E69" s="169"/>
    </row>
    <row r="70" spans="1:11" ht="15.6" customHeight="1" x14ac:dyDescent="0.3">
      <c r="A70" s="1" t="s">
        <v>291</v>
      </c>
      <c r="B70" s="96">
        <f>B25</f>
        <v>-1833</v>
      </c>
      <c r="C70" s="96">
        <f>C25</f>
        <v>-1069</v>
      </c>
      <c r="D70" s="96">
        <f>D25</f>
        <v>-3236</v>
      </c>
      <c r="E70" s="103"/>
    </row>
    <row r="71" spans="1:11" ht="15.6" customHeight="1" x14ac:dyDescent="0.3">
      <c r="A71" s="99" t="s">
        <v>292</v>
      </c>
      <c r="B71" s="100">
        <f>B66+B69+B70</f>
        <v>4081.7182492226739</v>
      </c>
      <c r="C71" s="100">
        <f>C66+C69+C70</f>
        <v>27247.161215920514</v>
      </c>
      <c r="D71" s="100">
        <f>D66+D69+D70</f>
        <v>61067.235593744794</v>
      </c>
      <c r="E71" s="170"/>
      <c r="H71" s="108"/>
      <c r="I71" s="108"/>
      <c r="J71" s="108"/>
      <c r="K71" s="108">
        <f>SUM(G13:G18)</f>
        <v>0</v>
      </c>
    </row>
    <row r="72" spans="1:11" x14ac:dyDescent="0.3">
      <c r="A72" s="1" t="s">
        <v>293</v>
      </c>
      <c r="B72" s="93">
        <v>0</v>
      </c>
      <c r="C72" s="93">
        <f>(C71-B71)/B71</f>
        <v>5.6754145073853364</v>
      </c>
      <c r="D72" s="93">
        <f>(D71-C71)/C71</f>
        <v>1.2412329530337718</v>
      </c>
      <c r="E72" s="171"/>
    </row>
    <row r="73" spans="1:11" x14ac:dyDescent="0.3">
      <c r="A73" s="1"/>
      <c r="B73" s="122">
        <f>'02_Historical_BS'!D12/'03_Historical_CF'!B71</f>
        <v>0.25430466696168402</v>
      </c>
      <c r="C73" s="122">
        <f>'02_Historical_BS'!E12/'03_Historical_CF'!C71</f>
        <v>4.9399641648302517E-2</v>
      </c>
      <c r="D73" s="122">
        <f>'02_Historical_BS'!F12/'03_Historical_CF'!D71</f>
        <v>2.9361080169537913E-2</v>
      </c>
      <c r="E73" s="171"/>
    </row>
    <row r="74" spans="1:11" x14ac:dyDescent="0.3">
      <c r="A74" s="1"/>
      <c r="B74" s="93"/>
      <c r="C74" s="93"/>
      <c r="D74" s="93"/>
      <c r="E74" s="171"/>
    </row>
    <row r="76" spans="1:11" ht="15.6" customHeight="1" x14ac:dyDescent="0.3">
      <c r="A76" s="30" t="s">
        <v>294</v>
      </c>
      <c r="B76" s="104">
        <v>2023</v>
      </c>
      <c r="C76" s="104">
        <v>2024</v>
      </c>
      <c r="D76" s="104">
        <v>2025</v>
      </c>
      <c r="E76" s="172"/>
    </row>
    <row r="77" spans="1:11" ht="15.6" customHeight="1" x14ac:dyDescent="0.3">
      <c r="A77" s="5" t="s">
        <v>295</v>
      </c>
      <c r="B77" s="103">
        <v>5641</v>
      </c>
      <c r="C77" s="103">
        <v>28090</v>
      </c>
      <c r="D77" s="103">
        <v>64089</v>
      </c>
      <c r="E77" s="103"/>
    </row>
    <row r="78" spans="1:11" ht="15.6" customHeight="1" x14ac:dyDescent="0.3">
      <c r="A78" s="4" t="s">
        <v>291</v>
      </c>
      <c r="B78" s="105">
        <f>B70</f>
        <v>-1833</v>
      </c>
      <c r="C78" s="105">
        <f>C70</f>
        <v>-1069</v>
      </c>
      <c r="D78" s="105">
        <f>D70</f>
        <v>-3236</v>
      </c>
      <c r="E78" s="83"/>
    </row>
    <row r="79" spans="1:11" ht="15.6" customHeight="1" x14ac:dyDescent="0.3">
      <c r="A79" s="106" t="str">
        <f>A34</f>
        <v>Repayment of debt</v>
      </c>
      <c r="B79" s="105">
        <f>B34</f>
        <v>0</v>
      </c>
      <c r="C79" s="105">
        <f>C34</f>
        <v>-1250</v>
      </c>
      <c r="D79" s="105">
        <f>D34</f>
        <v>-1250</v>
      </c>
      <c r="E79" s="83"/>
    </row>
    <row r="80" spans="1:11" s="1" customFormat="1" ht="15.6" customHeight="1" x14ac:dyDescent="0.3">
      <c r="A80" s="30" t="s">
        <v>296</v>
      </c>
      <c r="B80" s="107">
        <f>SUM(B77:B79)</f>
        <v>3808</v>
      </c>
      <c r="C80" s="107">
        <f>SUM(C77:C79)</f>
        <v>25771</v>
      </c>
      <c r="D80" s="107">
        <f>SUM(D77:D79)</f>
        <v>59603</v>
      </c>
      <c r="E80" s="173"/>
    </row>
    <row r="81" spans="1:5" ht="15.6" customHeight="1" x14ac:dyDescent="0.3">
      <c r="A81" s="41" t="s">
        <v>297</v>
      </c>
      <c r="B81" s="87">
        <v>0</v>
      </c>
      <c r="C81" s="9">
        <f>(C80-B80)/B80</f>
        <v>5.7675945378151257</v>
      </c>
      <c r="D81" s="9">
        <f>(D80-C80)/C80</f>
        <v>1.3127934500019403</v>
      </c>
      <c r="E81" s="167"/>
    </row>
    <row r="85" spans="1:5" x14ac:dyDescent="0.3">
      <c r="A85" s="1" t="s">
        <v>298</v>
      </c>
      <c r="B85" s="95">
        <v>2023</v>
      </c>
      <c r="C85" s="95">
        <v>2024</v>
      </c>
      <c r="D85" s="95">
        <v>2025</v>
      </c>
      <c r="E85" s="174"/>
    </row>
    <row r="86" spans="1:5" x14ac:dyDescent="0.3">
      <c r="A86" s="1" t="s">
        <v>299</v>
      </c>
      <c r="B86" s="61"/>
      <c r="C86" s="61"/>
      <c r="D86" s="61"/>
      <c r="E86" s="65"/>
    </row>
    <row r="87" spans="1:5" x14ac:dyDescent="0.3">
      <c r="A87" t="s">
        <v>300</v>
      </c>
      <c r="B87" s="92">
        <f>B$77/'01_Historical_IS'!E3</f>
        <v>0.20912730777786015</v>
      </c>
      <c r="C87" s="92">
        <f>C$77/'01_Historical_IS'!F3</f>
        <v>0.46108138275171529</v>
      </c>
      <c r="D87" s="92">
        <f>D$77/'01_Historical_IS'!G3</f>
        <v>0.49111473826984531</v>
      </c>
      <c r="E87" s="175"/>
    </row>
    <row r="88" spans="1:5" x14ac:dyDescent="0.3">
      <c r="A88" t="s">
        <v>301</v>
      </c>
      <c r="B88" s="92">
        <f>B$77/'02_Historical_BS'!D17</f>
        <v>0.13697732018843184</v>
      </c>
      <c r="C88" s="92">
        <f>C$77/'02_Historical_BS'!E17</f>
        <v>0.42736733203505356</v>
      </c>
      <c r="D88" s="92">
        <f>D$77/'02_Historical_BS'!F17</f>
        <v>0.57426904776838916</v>
      </c>
      <c r="E88" s="175"/>
    </row>
    <row r="89" spans="1:5" x14ac:dyDescent="0.3">
      <c r="A89" t="s">
        <v>302</v>
      </c>
      <c r="B89" s="92">
        <f>B$77/'02_Historical_BS'!D37</f>
        <v>0.25523731957829965</v>
      </c>
      <c r="C89" s="92">
        <f>C$77/'02_Historical_BS'!E37</f>
        <v>0.65359020894411091</v>
      </c>
      <c r="D89" s="92">
        <f>D$77/'02_Historical_BS'!F37</f>
        <v>0.80790903475487541</v>
      </c>
      <c r="E89" s="175"/>
    </row>
    <row r="90" spans="1:5" x14ac:dyDescent="0.3">
      <c r="A90" t="s">
        <v>303</v>
      </c>
      <c r="B90" s="92"/>
      <c r="C90" s="92"/>
      <c r="E90" s="175"/>
    </row>
    <row r="91" spans="1:5" x14ac:dyDescent="0.3">
      <c r="A91" s="1" t="s">
        <v>304</v>
      </c>
      <c r="B91" s="92"/>
      <c r="C91" s="92"/>
      <c r="D91" s="92"/>
      <c r="E91" s="175"/>
    </row>
    <row r="92" spans="1:5" x14ac:dyDescent="0.3">
      <c r="A92" t="s">
        <v>305</v>
      </c>
      <c r="B92" s="92">
        <f>B$77/'02_Historical_BS'!D31</f>
        <v>0.29563440071275088</v>
      </c>
      <c r="C92" s="92">
        <f>C$77/'02_Historical_BS'!E31</f>
        <v>1.2347252747252748</v>
      </c>
      <c r="D92" s="92">
        <f>D$77/'02_Historical_BS'!F31</f>
        <v>1.9857780256553264</v>
      </c>
      <c r="E92" s="175"/>
    </row>
    <row r="93" spans="1:5" x14ac:dyDescent="0.3">
      <c r="A93" t="s">
        <v>306</v>
      </c>
      <c r="B93" s="92">
        <f>(B77+B44+B43)/B44</f>
        <v>28.736220472440944</v>
      </c>
      <c r="C93" s="92">
        <f>(C77+C44+C43)/C44</f>
        <v>138.45634920634922</v>
      </c>
      <c r="D93" s="92">
        <f>(D77+D44+D43)/D44</f>
        <v>322.97967479674799</v>
      </c>
      <c r="E93" s="175"/>
    </row>
    <row r="94" spans="1:5" x14ac:dyDescent="0.3">
      <c r="A94" t="s">
        <v>307</v>
      </c>
      <c r="B94" s="92">
        <f>B77/-B78</f>
        <v>3.0774686306601202</v>
      </c>
      <c r="C94" s="92">
        <f>C77/-C78</f>
        <v>26.276894293732461</v>
      </c>
      <c r="D94" s="92">
        <f>D77/-D78</f>
        <v>19.805006180469714</v>
      </c>
      <c r="E94" s="175"/>
    </row>
    <row r="95" spans="1:5" x14ac:dyDescent="0.3">
      <c r="A95" t="s">
        <v>308</v>
      </c>
      <c r="B95" s="92" t="s">
        <v>309</v>
      </c>
      <c r="C95" s="92">
        <f>C77/-C79</f>
        <v>22.472000000000001</v>
      </c>
      <c r="D95" s="92">
        <f>D77/-D79</f>
        <v>51.2712</v>
      </c>
      <c r="E95" s="175"/>
    </row>
    <row r="96" spans="1:5" x14ac:dyDescent="0.3">
      <c r="A96" t="s">
        <v>310</v>
      </c>
      <c r="B96" s="60">
        <f>B77/-B35</f>
        <v>14.173366834170855</v>
      </c>
      <c r="C96" s="60">
        <f>C77/-C35</f>
        <v>71.113924050632917</v>
      </c>
      <c r="D96" s="60">
        <f>D77/-D35</f>
        <v>76.845323741007192</v>
      </c>
    </row>
    <row r="97" spans="2:5" x14ac:dyDescent="0.3">
      <c r="B97" s="61"/>
      <c r="C97" s="61"/>
      <c r="D97" s="61"/>
      <c r="E97" s="65"/>
    </row>
    <row r="98" spans="2:5" x14ac:dyDescent="0.3">
      <c r="B98" s="61"/>
      <c r="C98" s="61"/>
      <c r="D98" s="61"/>
      <c r="E98" s="65"/>
    </row>
    <row r="99" spans="2:5" x14ac:dyDescent="0.3">
      <c r="B99" s="61"/>
      <c r="C99" s="61"/>
      <c r="D99" s="61"/>
      <c r="E99" s="65"/>
    </row>
    <row r="100" spans="2:5" x14ac:dyDescent="0.3">
      <c r="B100" s="61"/>
      <c r="C100" s="61"/>
      <c r="D100" s="61"/>
      <c r="E100" s="65"/>
    </row>
    <row r="101" spans="2:5" x14ac:dyDescent="0.3">
      <c r="B101" s="61"/>
      <c r="C101" s="61"/>
      <c r="D101" s="61"/>
      <c r="E101" s="65"/>
    </row>
    <row r="102" spans="2:5" x14ac:dyDescent="0.3">
      <c r="B102" s="61"/>
      <c r="C102" s="61"/>
      <c r="D102" s="61"/>
      <c r="E102" s="65"/>
    </row>
    <row r="103" spans="2:5" x14ac:dyDescent="0.3">
      <c r="B103" s="61"/>
      <c r="C103" s="61"/>
      <c r="D103" s="61"/>
      <c r="E103" s="65"/>
    </row>
    <row r="104" spans="2:5" x14ac:dyDescent="0.3">
      <c r="B104" s="61"/>
      <c r="C104" s="61"/>
      <c r="D104" s="61"/>
      <c r="E104" s="65"/>
    </row>
    <row r="105" spans="2:5" x14ac:dyDescent="0.3">
      <c r="B105" s="61"/>
      <c r="C105" s="61"/>
      <c r="D105" s="61"/>
      <c r="E105" s="65"/>
    </row>
    <row r="106" spans="2:5" x14ac:dyDescent="0.3">
      <c r="B106" s="61"/>
      <c r="C106" s="61"/>
      <c r="D106" s="61"/>
      <c r="E106" s="65"/>
    </row>
    <row r="107" spans="2:5" x14ac:dyDescent="0.3">
      <c r="B107" s="61"/>
      <c r="C107" s="61"/>
      <c r="D107" s="61"/>
      <c r="E107" s="65"/>
    </row>
    <row r="108" spans="2:5" x14ac:dyDescent="0.3">
      <c r="B108" s="61"/>
      <c r="C108" s="61"/>
      <c r="D108" s="61"/>
      <c r="E108" s="65"/>
    </row>
    <row r="109" spans="2:5" x14ac:dyDescent="0.3">
      <c r="B109" s="61"/>
      <c r="C109" s="61"/>
      <c r="D109" s="61"/>
      <c r="E109" s="65"/>
    </row>
    <row r="110" spans="2:5" x14ac:dyDescent="0.3">
      <c r="B110" s="61"/>
      <c r="C110" s="61"/>
      <c r="D110" s="61"/>
      <c r="E110" s="65"/>
    </row>
    <row r="111" spans="2:5" x14ac:dyDescent="0.3">
      <c r="B111" s="61"/>
      <c r="C111" s="61"/>
      <c r="D111" s="61"/>
      <c r="E111" s="65"/>
    </row>
    <row r="112" spans="2:5" x14ac:dyDescent="0.3">
      <c r="B112" s="61"/>
      <c r="C112" s="61"/>
      <c r="D112" s="61"/>
      <c r="E112" s="65"/>
    </row>
    <row r="113" spans="2:5" x14ac:dyDescent="0.3">
      <c r="B113" s="61"/>
      <c r="C113" s="61"/>
      <c r="D113" s="61"/>
      <c r="E113" s="65"/>
    </row>
    <row r="114" spans="2:5" x14ac:dyDescent="0.3">
      <c r="B114" s="61"/>
      <c r="C114" s="61"/>
      <c r="D114" s="61"/>
      <c r="E114" s="65"/>
    </row>
    <row r="115" spans="2:5" x14ac:dyDescent="0.3">
      <c r="B115" s="61"/>
      <c r="C115" s="61"/>
      <c r="D115" s="61"/>
      <c r="E115" s="65"/>
    </row>
    <row r="116" spans="2:5" x14ac:dyDescent="0.3">
      <c r="B116" s="61"/>
      <c r="C116" s="61"/>
      <c r="D116" s="61"/>
      <c r="E116" s="65"/>
    </row>
    <row r="117" spans="2:5" x14ac:dyDescent="0.3">
      <c r="B117" s="61"/>
      <c r="C117" s="61"/>
      <c r="D117" s="61"/>
      <c r="E117" s="65"/>
    </row>
    <row r="118" spans="2:5" x14ac:dyDescent="0.3">
      <c r="B118" s="61"/>
      <c r="C118" s="61"/>
      <c r="D118" s="61"/>
      <c r="E118" s="65"/>
    </row>
    <row r="119" spans="2:5" x14ac:dyDescent="0.3">
      <c r="B119" s="61"/>
      <c r="C119" s="61"/>
      <c r="D119" s="61"/>
      <c r="E119" s="65"/>
    </row>
    <row r="120" spans="2:5" x14ac:dyDescent="0.3">
      <c r="B120" s="61"/>
      <c r="C120" s="61"/>
      <c r="D120" s="61"/>
      <c r="E120" s="65"/>
    </row>
    <row r="121" spans="2:5" x14ac:dyDescent="0.3">
      <c r="B121" s="61"/>
      <c r="C121" s="61"/>
      <c r="D121" s="61"/>
      <c r="E121" s="65"/>
    </row>
    <row r="122" spans="2:5" x14ac:dyDescent="0.3">
      <c r="B122" s="61"/>
      <c r="C122" s="61"/>
      <c r="D122" s="61"/>
      <c r="E122" s="65"/>
    </row>
    <row r="123" spans="2:5" x14ac:dyDescent="0.3">
      <c r="B123" s="61"/>
      <c r="C123" s="61"/>
      <c r="D123" s="61"/>
      <c r="E123" s="65"/>
    </row>
    <row r="124" spans="2:5" x14ac:dyDescent="0.3">
      <c r="B124" s="61"/>
      <c r="C124" s="61"/>
      <c r="D124" s="61"/>
      <c r="E124" s="65"/>
    </row>
    <row r="125" spans="2:5" x14ac:dyDescent="0.3">
      <c r="B125" s="61"/>
      <c r="C125" s="61"/>
      <c r="D125" s="61"/>
      <c r="E125" s="65"/>
    </row>
    <row r="126" spans="2:5" x14ac:dyDescent="0.3">
      <c r="B126" s="61"/>
      <c r="C126" s="61"/>
      <c r="D126" s="61"/>
      <c r="E126" s="65"/>
    </row>
    <row r="127" spans="2:5" x14ac:dyDescent="0.3">
      <c r="B127" s="61"/>
      <c r="C127" s="61"/>
      <c r="D127" s="61"/>
      <c r="E127" s="65"/>
    </row>
    <row r="128" spans="2:5" x14ac:dyDescent="0.3">
      <c r="B128" s="61"/>
      <c r="C128" s="61"/>
      <c r="D128" s="61"/>
      <c r="E128" s="65"/>
    </row>
    <row r="129" spans="2:5" x14ac:dyDescent="0.3">
      <c r="B129" s="61"/>
      <c r="C129" s="61"/>
      <c r="D129" s="61"/>
      <c r="E129" s="65"/>
    </row>
    <row r="130" spans="2:5" x14ac:dyDescent="0.3">
      <c r="B130" s="61"/>
      <c r="C130" s="61"/>
      <c r="D130" s="61"/>
      <c r="E130" s="65"/>
    </row>
    <row r="131" spans="2:5" x14ac:dyDescent="0.3">
      <c r="B131" s="61"/>
      <c r="C131" s="61"/>
      <c r="D131" s="61"/>
      <c r="E131" s="65"/>
    </row>
    <row r="132" spans="2:5" x14ac:dyDescent="0.3">
      <c r="B132" s="61"/>
      <c r="C132" s="61"/>
      <c r="D132" s="61"/>
      <c r="E132" s="65"/>
    </row>
    <row r="133" spans="2:5" x14ac:dyDescent="0.3">
      <c r="B133" s="61"/>
      <c r="C133" s="61"/>
      <c r="D133" s="61"/>
      <c r="E133" s="65"/>
    </row>
    <row r="134" spans="2:5" x14ac:dyDescent="0.3">
      <c r="B134" s="61"/>
      <c r="C134" s="61"/>
      <c r="D134" s="61"/>
      <c r="E134" s="65"/>
    </row>
    <row r="135" spans="2:5" x14ac:dyDescent="0.3">
      <c r="B135" s="61"/>
      <c r="C135" s="61"/>
      <c r="D135" s="61"/>
      <c r="E135" s="65"/>
    </row>
    <row r="136" spans="2:5" x14ac:dyDescent="0.3">
      <c r="B136" s="61"/>
      <c r="C136" s="61"/>
      <c r="D136" s="61"/>
      <c r="E136" s="65"/>
    </row>
    <row r="137" spans="2:5" x14ac:dyDescent="0.3">
      <c r="B137" s="61"/>
      <c r="C137" s="61"/>
      <c r="D137" s="61"/>
      <c r="E137" s="65"/>
    </row>
    <row r="138" spans="2:5" x14ac:dyDescent="0.3">
      <c r="B138" s="61"/>
      <c r="C138" s="61"/>
      <c r="D138" s="61"/>
      <c r="E138" s="65"/>
    </row>
    <row r="139" spans="2:5" x14ac:dyDescent="0.3">
      <c r="B139" s="61"/>
      <c r="C139" s="61"/>
      <c r="D139" s="61"/>
      <c r="E139" s="65"/>
    </row>
    <row r="140" spans="2:5" x14ac:dyDescent="0.3">
      <c r="B140" s="61"/>
      <c r="C140" s="61"/>
      <c r="D140" s="61"/>
      <c r="E140" s="65"/>
    </row>
    <row r="141" spans="2:5" x14ac:dyDescent="0.3">
      <c r="B141" s="61"/>
      <c r="C141" s="61"/>
      <c r="D141" s="61"/>
      <c r="E141" s="65"/>
    </row>
    <row r="142" spans="2:5" x14ac:dyDescent="0.3">
      <c r="B142" s="61"/>
      <c r="C142" s="61"/>
      <c r="D142" s="61"/>
      <c r="E142" s="65"/>
    </row>
    <row r="143" spans="2:5" x14ac:dyDescent="0.3">
      <c r="B143" s="61"/>
      <c r="C143" s="61"/>
      <c r="D143" s="61"/>
      <c r="E143" s="65"/>
    </row>
    <row r="144" spans="2:5" x14ac:dyDescent="0.3">
      <c r="B144" s="61"/>
      <c r="C144" s="61"/>
      <c r="D144" s="61"/>
      <c r="E144" s="65"/>
    </row>
    <row r="145" spans="2:5" x14ac:dyDescent="0.3">
      <c r="B145" s="61"/>
      <c r="C145" s="61"/>
      <c r="D145" s="61"/>
      <c r="E145" s="65"/>
    </row>
    <row r="146" spans="2:5" x14ac:dyDescent="0.3">
      <c r="B146" s="61"/>
      <c r="C146" s="61"/>
      <c r="D146" s="61"/>
      <c r="E146" s="65"/>
    </row>
    <row r="147" spans="2:5" x14ac:dyDescent="0.3">
      <c r="B147" s="61"/>
      <c r="C147" s="61"/>
      <c r="D147" s="61"/>
      <c r="E147" s="65"/>
    </row>
    <row r="148" spans="2:5" x14ac:dyDescent="0.3">
      <c r="B148" s="61"/>
      <c r="C148" s="61"/>
      <c r="D148" s="61"/>
      <c r="E148" s="65"/>
    </row>
    <row r="149" spans="2:5" x14ac:dyDescent="0.3">
      <c r="B149" s="61"/>
      <c r="C149" s="61"/>
      <c r="D149" s="61"/>
      <c r="E149" s="65"/>
    </row>
    <row r="150" spans="2:5" x14ac:dyDescent="0.3">
      <c r="B150" s="61"/>
      <c r="C150" s="61"/>
      <c r="D150" s="61"/>
      <c r="E150" s="65"/>
    </row>
    <row r="151" spans="2:5" x14ac:dyDescent="0.3">
      <c r="B151" s="61"/>
      <c r="C151" s="61"/>
      <c r="D151" s="61"/>
      <c r="E151" s="65"/>
    </row>
    <row r="152" spans="2:5" x14ac:dyDescent="0.3">
      <c r="B152" s="61"/>
      <c r="C152" s="61"/>
      <c r="D152" s="61"/>
      <c r="E152" s="65"/>
    </row>
    <row r="153" spans="2:5" x14ac:dyDescent="0.3">
      <c r="B153" s="61"/>
      <c r="C153" s="61"/>
      <c r="D153" s="61"/>
      <c r="E153" s="65"/>
    </row>
    <row r="154" spans="2:5" x14ac:dyDescent="0.3">
      <c r="B154" s="61"/>
      <c r="C154" s="61"/>
      <c r="D154" s="61"/>
      <c r="E154" s="65"/>
    </row>
    <row r="155" spans="2:5" x14ac:dyDescent="0.3">
      <c r="B155" s="61"/>
      <c r="C155" s="61"/>
      <c r="D155" s="61"/>
      <c r="E155" s="65"/>
    </row>
    <row r="156" spans="2:5" x14ac:dyDescent="0.3">
      <c r="B156" s="61"/>
      <c r="C156" s="61"/>
      <c r="D156" s="61"/>
      <c r="E156" s="65"/>
    </row>
    <row r="157" spans="2:5" x14ac:dyDescent="0.3">
      <c r="B157" s="61"/>
      <c r="C157" s="61"/>
      <c r="D157" s="61"/>
      <c r="E157" s="65"/>
    </row>
    <row r="158" spans="2:5" x14ac:dyDescent="0.3">
      <c r="B158" s="61"/>
      <c r="C158" s="61"/>
      <c r="D158" s="61"/>
      <c r="E158" s="65"/>
    </row>
    <row r="159" spans="2:5" x14ac:dyDescent="0.3">
      <c r="B159" s="61"/>
      <c r="C159" s="61"/>
      <c r="D159" s="61"/>
      <c r="E159" s="65"/>
    </row>
    <row r="160" spans="2:5" x14ac:dyDescent="0.3">
      <c r="B160" s="61"/>
      <c r="C160" s="61"/>
      <c r="D160" s="61"/>
      <c r="E160" s="65"/>
    </row>
    <row r="161" spans="2:5" x14ac:dyDescent="0.3">
      <c r="B161" s="61"/>
      <c r="C161" s="61"/>
      <c r="D161" s="61"/>
      <c r="E161" s="65"/>
    </row>
    <row r="162" spans="2:5" x14ac:dyDescent="0.3">
      <c r="B162" s="61"/>
      <c r="C162" s="61"/>
      <c r="D162" s="61"/>
      <c r="E162" s="65"/>
    </row>
    <row r="163" spans="2:5" x14ac:dyDescent="0.3">
      <c r="B163" s="61"/>
      <c r="C163" s="61"/>
      <c r="D163" s="61"/>
      <c r="E163" s="65"/>
    </row>
    <row r="164" spans="2:5" x14ac:dyDescent="0.3">
      <c r="B164" s="61"/>
      <c r="C164" s="61"/>
      <c r="D164" s="61"/>
      <c r="E164" s="65"/>
    </row>
    <row r="165" spans="2:5" x14ac:dyDescent="0.3">
      <c r="B165" s="61"/>
      <c r="C165" s="61"/>
      <c r="D165" s="61"/>
      <c r="E165" s="65"/>
    </row>
    <row r="166" spans="2:5" x14ac:dyDescent="0.3">
      <c r="B166" s="61"/>
      <c r="C166" s="61"/>
      <c r="D166" s="61"/>
      <c r="E166" s="65"/>
    </row>
    <row r="167" spans="2:5" x14ac:dyDescent="0.3">
      <c r="B167" s="61"/>
      <c r="C167" s="61"/>
      <c r="D167" s="61"/>
      <c r="E167" s="65"/>
    </row>
    <row r="168" spans="2:5" x14ac:dyDescent="0.3">
      <c r="B168" s="61"/>
      <c r="C168" s="61"/>
      <c r="D168" s="61"/>
      <c r="E168" s="65"/>
    </row>
    <row r="169" spans="2:5" x14ac:dyDescent="0.3">
      <c r="B169" s="61"/>
      <c r="C169" s="61"/>
      <c r="D169" s="61"/>
      <c r="E169" s="65"/>
    </row>
    <row r="170" spans="2:5" x14ac:dyDescent="0.3">
      <c r="B170" s="61"/>
      <c r="C170" s="61"/>
      <c r="D170" s="61"/>
      <c r="E170" s="65"/>
    </row>
    <row r="171" spans="2:5" x14ac:dyDescent="0.3">
      <c r="B171" s="61"/>
      <c r="C171" s="61"/>
      <c r="D171" s="61"/>
      <c r="E171" s="65"/>
    </row>
    <row r="172" spans="2:5" x14ac:dyDescent="0.3">
      <c r="B172" s="61"/>
      <c r="C172" s="61"/>
      <c r="D172" s="61"/>
      <c r="E172" s="65"/>
    </row>
    <row r="173" spans="2:5" x14ac:dyDescent="0.3">
      <c r="B173" s="61"/>
      <c r="C173" s="61"/>
      <c r="D173" s="61"/>
      <c r="E173" s="65"/>
    </row>
    <row r="174" spans="2:5" x14ac:dyDescent="0.3">
      <c r="B174" s="61"/>
      <c r="C174" s="61"/>
      <c r="D174" s="61"/>
      <c r="E174" s="65"/>
    </row>
    <row r="175" spans="2:5" x14ac:dyDescent="0.3">
      <c r="B175" s="61"/>
      <c r="C175" s="61"/>
      <c r="D175" s="61"/>
      <c r="E175" s="65"/>
    </row>
    <row r="176" spans="2:5" x14ac:dyDescent="0.3">
      <c r="B176" s="61"/>
      <c r="C176" s="61"/>
      <c r="D176" s="61"/>
      <c r="E176" s="65"/>
    </row>
    <row r="177" spans="2:5" x14ac:dyDescent="0.3">
      <c r="B177" s="61"/>
      <c r="C177" s="61"/>
      <c r="D177" s="61"/>
      <c r="E177" s="65"/>
    </row>
    <row r="178" spans="2:5" x14ac:dyDescent="0.3">
      <c r="B178" s="61"/>
      <c r="C178" s="61"/>
      <c r="D178" s="61"/>
      <c r="E178" s="65"/>
    </row>
    <row r="179" spans="2:5" x14ac:dyDescent="0.3">
      <c r="B179" s="61"/>
      <c r="C179" s="61"/>
      <c r="D179" s="61"/>
      <c r="E179" s="65"/>
    </row>
    <row r="180" spans="2:5" x14ac:dyDescent="0.3">
      <c r="B180" s="61"/>
      <c r="C180" s="61"/>
      <c r="D180" s="61"/>
      <c r="E180" s="65"/>
    </row>
    <row r="181" spans="2:5" x14ac:dyDescent="0.3">
      <c r="B181" s="61"/>
      <c r="C181" s="61"/>
      <c r="D181" s="61"/>
      <c r="E181" s="65"/>
    </row>
    <row r="182" spans="2:5" x14ac:dyDescent="0.3">
      <c r="B182" s="61"/>
      <c r="C182" s="61"/>
      <c r="D182" s="61"/>
      <c r="E182" s="65"/>
    </row>
    <row r="183" spans="2:5" x14ac:dyDescent="0.3">
      <c r="B183" s="61"/>
      <c r="C183" s="61"/>
      <c r="D183" s="61"/>
      <c r="E183" s="65"/>
    </row>
    <row r="184" spans="2:5" x14ac:dyDescent="0.3">
      <c r="B184" s="61"/>
      <c r="C184" s="61"/>
      <c r="D184" s="61"/>
      <c r="E184" s="65"/>
    </row>
    <row r="185" spans="2:5" x14ac:dyDescent="0.3">
      <c r="B185" s="61"/>
      <c r="C185" s="61"/>
      <c r="D185" s="61"/>
      <c r="E185" s="65"/>
    </row>
    <row r="186" spans="2:5" x14ac:dyDescent="0.3">
      <c r="B186" s="61"/>
      <c r="C186" s="61"/>
      <c r="D186" s="61"/>
      <c r="E186" s="65"/>
    </row>
    <row r="187" spans="2:5" x14ac:dyDescent="0.3">
      <c r="B187" s="61"/>
      <c r="C187" s="61"/>
      <c r="D187" s="61"/>
      <c r="E187" s="65"/>
    </row>
    <row r="188" spans="2:5" x14ac:dyDescent="0.3">
      <c r="B188" s="61"/>
      <c r="C188" s="61"/>
      <c r="D188" s="61"/>
      <c r="E188" s="65"/>
    </row>
    <row r="189" spans="2:5" x14ac:dyDescent="0.3">
      <c r="B189" s="61"/>
      <c r="C189" s="61"/>
      <c r="D189" s="61"/>
      <c r="E189" s="65"/>
    </row>
    <row r="190" spans="2:5" x14ac:dyDescent="0.3">
      <c r="B190" s="61"/>
      <c r="C190" s="61"/>
      <c r="D190" s="61"/>
      <c r="E190" s="65"/>
    </row>
    <row r="191" spans="2:5" x14ac:dyDescent="0.3">
      <c r="B191" s="61"/>
      <c r="C191" s="61"/>
      <c r="D191" s="61"/>
      <c r="E191" s="65"/>
    </row>
    <row r="192" spans="2:5" x14ac:dyDescent="0.3">
      <c r="B192" s="61"/>
      <c r="C192" s="61"/>
      <c r="D192" s="61"/>
      <c r="E192" s="65"/>
    </row>
    <row r="193" spans="1:5" x14ac:dyDescent="0.3">
      <c r="B193" s="61"/>
      <c r="C193" s="61"/>
      <c r="D193" s="61"/>
      <c r="E193" s="65"/>
    </row>
    <row r="194" spans="1:5" x14ac:dyDescent="0.3">
      <c r="B194" s="61"/>
      <c r="C194" s="61"/>
      <c r="D194" s="61"/>
      <c r="E194" s="65"/>
    </row>
    <row r="195" spans="1:5" x14ac:dyDescent="0.3">
      <c r="B195" s="61"/>
      <c r="C195" s="61"/>
      <c r="D195" s="61"/>
      <c r="E195" s="65"/>
    </row>
    <row r="196" spans="1:5" x14ac:dyDescent="0.3">
      <c r="B196" s="61"/>
      <c r="C196" s="61"/>
      <c r="D196" s="61"/>
      <c r="E196" s="65"/>
    </row>
    <row r="197" spans="1:5" x14ac:dyDescent="0.3">
      <c r="B197" s="61"/>
      <c r="C197" s="61"/>
      <c r="D197" s="61"/>
      <c r="E197" s="65"/>
    </row>
    <row r="198" spans="1:5" x14ac:dyDescent="0.3">
      <c r="B198" s="61"/>
      <c r="C198" s="61"/>
      <c r="D198" s="61"/>
      <c r="E198" s="65"/>
    </row>
    <row r="199" spans="1:5" x14ac:dyDescent="0.3">
      <c r="B199" s="61"/>
      <c r="C199" s="61"/>
      <c r="D199" s="61"/>
      <c r="E199" s="65"/>
    </row>
    <row r="200" spans="1:5" x14ac:dyDescent="0.3">
      <c r="B200" s="61"/>
      <c r="C200" s="61"/>
      <c r="D200" s="61"/>
      <c r="E200" s="65"/>
    </row>
    <row r="201" spans="1:5" x14ac:dyDescent="0.3">
      <c r="B201" s="61"/>
      <c r="C201" s="61"/>
      <c r="D201" s="61"/>
      <c r="E201" s="65"/>
    </row>
    <row r="202" spans="1:5" x14ac:dyDescent="0.3">
      <c r="B202" s="61"/>
      <c r="C202" s="61"/>
      <c r="D202" s="61"/>
      <c r="E202" s="65"/>
    </row>
    <row r="203" spans="1:5" x14ac:dyDescent="0.3">
      <c r="A203" s="27" t="s">
        <v>187</v>
      </c>
      <c r="B203" s="61"/>
      <c r="C203" s="62" t="s">
        <v>311</v>
      </c>
      <c r="D203" s="62" t="s">
        <v>312</v>
      </c>
      <c r="E203" s="65"/>
    </row>
    <row r="204" spans="1:5" x14ac:dyDescent="0.3">
      <c r="A204" s="28" t="s">
        <v>193</v>
      </c>
      <c r="B204" s="61"/>
      <c r="C204" s="63" t="s">
        <v>195</v>
      </c>
      <c r="D204" s="63" t="s">
        <v>197</v>
      </c>
      <c r="E204" s="65"/>
    </row>
    <row r="205" spans="1:5" x14ac:dyDescent="0.3">
      <c r="A205" s="15" t="s">
        <v>313</v>
      </c>
      <c r="B205" s="61"/>
      <c r="C205" s="64">
        <v>9752</v>
      </c>
      <c r="D205" s="67">
        <v>29760</v>
      </c>
      <c r="E205" s="65"/>
    </row>
    <row r="206" spans="1:5" x14ac:dyDescent="0.3">
      <c r="A206" s="16" t="s">
        <v>314</v>
      </c>
      <c r="B206" s="61"/>
      <c r="C206" s="65">
        <v>1174</v>
      </c>
      <c r="D206" s="69">
        <v>1508</v>
      </c>
      <c r="E206" s="65"/>
    </row>
    <row r="207" spans="1:5" x14ac:dyDescent="0.3">
      <c r="A207" s="15" t="s">
        <v>315</v>
      </c>
      <c r="B207" s="61"/>
      <c r="C207" s="64">
        <v>-100</v>
      </c>
      <c r="D207" s="66">
        <v>-238</v>
      </c>
      <c r="E207" s="65"/>
    </row>
    <row r="208" spans="1:5" x14ac:dyDescent="0.3">
      <c r="A208" s="16" t="s">
        <v>316</v>
      </c>
      <c r="B208" s="61"/>
      <c r="C208" s="65">
        <v>2004</v>
      </c>
      <c r="D208" s="69">
        <v>3549</v>
      </c>
      <c r="E208" s="65"/>
    </row>
    <row r="209" spans="1:5" x14ac:dyDescent="0.3">
      <c r="A209" s="15" t="s">
        <v>317</v>
      </c>
      <c r="B209" s="61"/>
      <c r="C209" s="64">
        <v>-359</v>
      </c>
      <c r="D209" s="67">
        <v>-2767</v>
      </c>
      <c r="E209" s="65"/>
    </row>
    <row r="210" spans="1:5" x14ac:dyDescent="0.3">
      <c r="A210" s="16" t="s">
        <v>318</v>
      </c>
      <c r="B210" s="61"/>
      <c r="C210" s="65">
        <v>-2215</v>
      </c>
      <c r="D210" s="69">
        <v>-6172</v>
      </c>
      <c r="E210" s="65"/>
    </row>
    <row r="211" spans="1:5" x14ac:dyDescent="0.3">
      <c r="A211" s="15" t="s">
        <v>319</v>
      </c>
      <c r="B211" s="61"/>
      <c r="C211" s="64">
        <v>-774</v>
      </c>
      <c r="D211" s="66">
        <v>-98</v>
      </c>
      <c r="E211" s="65"/>
    </row>
    <row r="212" spans="1:5" x14ac:dyDescent="0.3">
      <c r="A212" s="16" t="s">
        <v>320</v>
      </c>
      <c r="B212" s="61"/>
      <c r="C212" s="65">
        <v>568</v>
      </c>
      <c r="D212" s="69">
        <v>1531</v>
      </c>
      <c r="E212" s="65"/>
    </row>
    <row r="213" spans="1:5" x14ac:dyDescent="0.3">
      <c r="A213" s="15" t="s">
        <v>321</v>
      </c>
      <c r="B213" s="61"/>
      <c r="C213" s="64">
        <v>-942</v>
      </c>
      <c r="D213" s="67">
        <v>1017</v>
      </c>
      <c r="E213" s="65"/>
    </row>
    <row r="214" spans="1:5" x14ac:dyDescent="0.3">
      <c r="A214" s="28" t="s">
        <v>322</v>
      </c>
      <c r="B214" s="61"/>
      <c r="C214" s="63">
        <v>9108</v>
      </c>
      <c r="D214" s="70">
        <v>28090</v>
      </c>
      <c r="E214" s="65"/>
    </row>
    <row r="215" spans="1:5" x14ac:dyDescent="0.3">
      <c r="A215" s="15" t="s">
        <v>323</v>
      </c>
      <c r="B215" s="61"/>
      <c r="C215" s="64">
        <v>0.56440000000000001</v>
      </c>
      <c r="D215" s="71">
        <v>3.9796</v>
      </c>
      <c r="E215" s="65"/>
    </row>
    <row r="216" spans="1:5" x14ac:dyDescent="0.3">
      <c r="A216" s="16" t="s">
        <v>324</v>
      </c>
      <c r="B216" s="61"/>
      <c r="C216" s="65">
        <v>-976</v>
      </c>
      <c r="D216" s="69">
        <v>-1069</v>
      </c>
      <c r="E216" s="65"/>
    </row>
    <row r="217" spans="1:5" x14ac:dyDescent="0.3">
      <c r="A217" s="15" t="s">
        <v>325</v>
      </c>
      <c r="B217" s="61"/>
      <c r="C217" s="64">
        <v>-263</v>
      </c>
      <c r="D217" s="66">
        <v>-83</v>
      </c>
      <c r="E217" s="65"/>
    </row>
    <row r="218" spans="1:5" x14ac:dyDescent="0.3">
      <c r="A218" s="16" t="s">
        <v>326</v>
      </c>
      <c r="B218" s="61"/>
      <c r="C218" s="65">
        <v>-8591</v>
      </c>
      <c r="D218" s="69">
        <v>-9290</v>
      </c>
      <c r="E218" s="65"/>
    </row>
    <row r="219" spans="1:5" x14ac:dyDescent="0.3">
      <c r="A219" s="15" t="s">
        <v>327</v>
      </c>
      <c r="B219" s="61"/>
      <c r="C219" s="64">
        <v>0</v>
      </c>
      <c r="D219" s="66">
        <v>-124</v>
      </c>
      <c r="E219" s="65"/>
    </row>
    <row r="220" spans="1:5" x14ac:dyDescent="0.3">
      <c r="A220" s="28" t="s">
        <v>328</v>
      </c>
      <c r="B220" s="61"/>
      <c r="C220" s="63">
        <v>-9830</v>
      </c>
      <c r="D220" s="70">
        <v>-10566</v>
      </c>
      <c r="E220" s="65"/>
    </row>
    <row r="221" spans="1:5" x14ac:dyDescent="0.3">
      <c r="A221" s="15" t="s">
        <v>329</v>
      </c>
      <c r="B221" s="61"/>
      <c r="C221" s="64">
        <v>4977</v>
      </c>
      <c r="D221" s="64">
        <v>0</v>
      </c>
      <c r="E221" s="65"/>
    </row>
    <row r="222" spans="1:5" x14ac:dyDescent="0.3">
      <c r="A222" s="16" t="s">
        <v>330</v>
      </c>
      <c r="B222" s="61"/>
      <c r="C222" s="65">
        <v>-1000</v>
      </c>
      <c r="D222" s="69">
        <v>-1250</v>
      </c>
      <c r="E222" s="65"/>
    </row>
    <row r="223" spans="1:5" x14ac:dyDescent="0.3">
      <c r="A223" s="15" t="s">
        <v>331</v>
      </c>
      <c r="B223" s="61"/>
      <c r="C223" s="64">
        <v>3977</v>
      </c>
      <c r="D223" s="67">
        <v>-1250</v>
      </c>
      <c r="E223" s="65"/>
    </row>
    <row r="224" spans="1:5" x14ac:dyDescent="0.3">
      <c r="A224" s="16" t="s">
        <v>332</v>
      </c>
      <c r="B224" s="61"/>
      <c r="C224" s="65">
        <v>281</v>
      </c>
      <c r="D224" s="68">
        <v>403</v>
      </c>
      <c r="E224" s="65"/>
    </row>
    <row r="225" spans="1:5" x14ac:dyDescent="0.3">
      <c r="A225" s="15" t="s">
        <v>333</v>
      </c>
      <c r="B225" s="61"/>
      <c r="C225" s="64">
        <v>-1904</v>
      </c>
      <c r="D225" s="67">
        <v>-12316</v>
      </c>
      <c r="E225" s="65"/>
    </row>
    <row r="226" spans="1:5" x14ac:dyDescent="0.3">
      <c r="A226" s="16" t="s">
        <v>334</v>
      </c>
      <c r="B226" s="61"/>
      <c r="C226" s="65">
        <v>-399</v>
      </c>
      <c r="D226" s="68">
        <v>-395</v>
      </c>
      <c r="E226" s="65"/>
    </row>
    <row r="227" spans="1:5" x14ac:dyDescent="0.3">
      <c r="A227" s="15" t="s">
        <v>335</v>
      </c>
      <c r="B227" s="61"/>
      <c r="C227" s="64">
        <v>-90</v>
      </c>
      <c r="D227" s="66">
        <v>-75</v>
      </c>
      <c r="E227" s="65"/>
    </row>
    <row r="228" spans="1:5" x14ac:dyDescent="0.3">
      <c r="A228" s="28" t="s">
        <v>336</v>
      </c>
      <c r="B228" s="61"/>
      <c r="C228" s="63">
        <v>1865</v>
      </c>
      <c r="D228" s="70">
        <v>-13633</v>
      </c>
      <c r="E228" s="65"/>
    </row>
    <row r="229" spans="1:5" x14ac:dyDescent="0.3">
      <c r="A229" s="15" t="s">
        <v>337</v>
      </c>
      <c r="B229" s="61"/>
      <c r="C229" s="64">
        <v>1143</v>
      </c>
      <c r="D229" s="67">
        <v>3891</v>
      </c>
      <c r="E229" s="65"/>
    </row>
    <row r="230" spans="1:5" x14ac:dyDescent="0.3">
      <c r="A230" s="16" t="s">
        <v>338</v>
      </c>
      <c r="B230" s="61"/>
      <c r="C230" s="65">
        <v>8132</v>
      </c>
      <c r="D230" s="69">
        <v>27021</v>
      </c>
      <c r="E230" s="65"/>
    </row>
    <row r="231" spans="1:5" x14ac:dyDescent="0.3">
      <c r="A231" s="15" t="s">
        <v>339</v>
      </c>
      <c r="B231" s="61"/>
      <c r="C231" s="64">
        <v>0.73239999999999994</v>
      </c>
      <c r="D231" s="71">
        <v>6.0959000000000003</v>
      </c>
      <c r="E231" s="65"/>
    </row>
    <row r="232" spans="1:5" x14ac:dyDescent="0.3">
      <c r="A232" s="16" t="s">
        <v>340</v>
      </c>
      <c r="B232" s="61"/>
      <c r="C232" s="65">
        <v>0.30209999999999998</v>
      </c>
      <c r="D232" s="72">
        <v>0.44350000000000001</v>
      </c>
      <c r="E232" s="65"/>
    </row>
    <row r="233" spans="1:5" x14ac:dyDescent="0.3">
      <c r="A233" s="15" t="s">
        <v>341</v>
      </c>
      <c r="B233" s="61"/>
      <c r="C233" s="64">
        <v>0.32</v>
      </c>
      <c r="D233" s="66">
        <v>1.08</v>
      </c>
      <c r="E233" s="65"/>
    </row>
    <row r="234" spans="1:5" x14ac:dyDescent="0.3">
      <c r="A234" s="16" t="s">
        <v>342</v>
      </c>
      <c r="B234" s="61"/>
      <c r="C234" s="65">
        <v>246</v>
      </c>
      <c r="D234" s="68">
        <v>252</v>
      </c>
      <c r="E234" s="65"/>
    </row>
    <row r="235" spans="1:5" x14ac:dyDescent="0.3">
      <c r="A235" s="15" t="s">
        <v>343</v>
      </c>
      <c r="B235" s="61"/>
      <c r="C235" s="64">
        <v>396</v>
      </c>
      <c r="D235" s="67">
        <v>6549</v>
      </c>
      <c r="E235" s="65"/>
    </row>
    <row r="236" spans="1:5" x14ac:dyDescent="0.3">
      <c r="A236" s="16" t="s">
        <v>344</v>
      </c>
      <c r="B236" s="61"/>
      <c r="C236" s="65">
        <v>6468</v>
      </c>
      <c r="D236" s="69">
        <v>19867</v>
      </c>
      <c r="E236" s="65"/>
    </row>
    <row r="237" spans="1:5" x14ac:dyDescent="0.3">
      <c r="A237" s="15" t="s">
        <v>345</v>
      </c>
      <c r="B237" s="61"/>
      <c r="C237" s="64">
        <v>6616</v>
      </c>
      <c r="D237" s="67">
        <v>20028</v>
      </c>
      <c r="E237" s="65"/>
    </row>
    <row r="238" spans="1:5" x14ac:dyDescent="0.3">
      <c r="A238" s="16" t="s">
        <v>346</v>
      </c>
      <c r="B238" s="61"/>
      <c r="C238" s="65">
        <v>1862</v>
      </c>
      <c r="D238" s="69">
        <v>4568</v>
      </c>
      <c r="E238" s="6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L101"/>
  <sheetViews>
    <sheetView showGridLines="0" topLeftCell="A76" zoomScale="74" zoomScaleNormal="85" workbookViewId="0">
      <selection activeCell="C104" sqref="C104"/>
    </sheetView>
  </sheetViews>
  <sheetFormatPr defaultRowHeight="14.4" x14ac:dyDescent="0.3"/>
  <cols>
    <col min="1" max="1" width="43.6640625" bestFit="1" customWidth="1"/>
    <col min="2" max="2" width="13.77734375" customWidth="1"/>
    <col min="3" max="3" width="13.21875" customWidth="1"/>
    <col min="4" max="4" width="14.109375" customWidth="1"/>
    <col min="5" max="5" width="14.21875" customWidth="1"/>
    <col min="6" max="6" width="13.77734375" customWidth="1"/>
    <col min="7" max="7" width="13.109375" customWidth="1"/>
    <col min="8" max="8" width="14.6640625" customWidth="1"/>
    <col min="9" max="10" width="14.5546875" customWidth="1"/>
    <col min="11" max="11" width="13.5546875" customWidth="1"/>
    <col min="12" max="12" width="14.6640625" customWidth="1"/>
    <col min="13" max="13" width="34.5546875" bestFit="1" customWidth="1"/>
    <col min="14" max="14" width="34.77734375" customWidth="1"/>
    <col min="15" max="15" width="8.88671875" customWidth="1"/>
    <col min="16" max="17" width="10.77734375" bestFit="1" customWidth="1"/>
    <col min="18" max="18" width="8.88671875" customWidth="1"/>
    <col min="19" max="19" width="10.77734375" bestFit="1" customWidth="1"/>
    <col min="20" max="20" width="10.44140625" bestFit="1" customWidth="1"/>
    <col min="21" max="21" width="10.88671875" customWidth="1"/>
    <col min="22" max="24" width="9.77734375" bestFit="1" customWidth="1"/>
    <col min="27" max="27" width="30.6640625" bestFit="1" customWidth="1"/>
    <col min="28" max="29" width="8.5546875" bestFit="1" customWidth="1"/>
    <col min="34" max="37" width="11.77734375" bestFit="1" customWidth="1"/>
  </cols>
  <sheetData>
    <row r="2" spans="1:38" ht="22.2" customHeight="1" x14ac:dyDescent="0.3">
      <c r="A2" s="708" t="s">
        <v>347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N2" s="708" t="s">
        <v>348</v>
      </c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AA2" s="707"/>
      <c r="AB2" s="700"/>
      <c r="AC2" s="700"/>
      <c r="AD2" s="700"/>
      <c r="AE2" s="700"/>
      <c r="AF2" s="700"/>
      <c r="AG2" s="700"/>
      <c r="AH2" s="700"/>
      <c r="AI2" s="700"/>
      <c r="AJ2" s="700"/>
      <c r="AK2" s="700"/>
      <c r="AL2" s="700"/>
    </row>
    <row r="3" spans="1:38" ht="15.6" customHeight="1" x14ac:dyDescent="0.3">
      <c r="A3" s="6" t="s">
        <v>349</v>
      </c>
      <c r="B3" s="6" t="s">
        <v>188</v>
      </c>
      <c r="C3" s="6" t="s">
        <v>189</v>
      </c>
      <c r="D3" s="6" t="s">
        <v>190</v>
      </c>
      <c r="E3" s="6" t="s">
        <v>191</v>
      </c>
      <c r="F3" s="6" t="s">
        <v>192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M3" s="373"/>
      <c r="N3" s="6" t="s">
        <v>349</v>
      </c>
      <c r="O3" s="6" t="s">
        <v>350</v>
      </c>
      <c r="P3" s="6" t="s">
        <v>188</v>
      </c>
      <c r="Q3" s="6" t="s">
        <v>189</v>
      </c>
      <c r="R3" s="6" t="s">
        <v>190</v>
      </c>
      <c r="S3" s="6" t="s">
        <v>191</v>
      </c>
      <c r="T3" s="6" t="s">
        <v>192</v>
      </c>
      <c r="U3" s="6" t="s">
        <v>6</v>
      </c>
      <c r="V3" s="6" t="s">
        <v>7</v>
      </c>
      <c r="W3" s="6" t="s">
        <v>8</v>
      </c>
      <c r="X3" s="6" t="s">
        <v>9</v>
      </c>
      <c r="Y3" s="6" t="s">
        <v>10</v>
      </c>
      <c r="AA3" s="12"/>
      <c r="AB3" s="12"/>
      <c r="AC3" s="12"/>
      <c r="AD3" s="12"/>
      <c r="AE3" s="12"/>
      <c r="AF3" s="12"/>
      <c r="AG3" s="12"/>
      <c r="AH3" s="12"/>
      <c r="AI3" s="374"/>
      <c r="AJ3" s="12"/>
      <c r="AK3" s="374"/>
      <c r="AL3" s="12"/>
    </row>
    <row r="4" spans="1:38" ht="15.6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</row>
    <row r="5" spans="1:38" ht="15.6" customHeight="1" x14ac:dyDescent="0.3">
      <c r="A5" s="5" t="s">
        <v>351</v>
      </c>
      <c r="B5" s="375">
        <v>6696</v>
      </c>
      <c r="C5" s="375">
        <v>10613</v>
      </c>
      <c r="D5" s="376">
        <v>15005</v>
      </c>
      <c r="E5" s="376">
        <v>47525</v>
      </c>
      <c r="F5" s="376">
        <v>115186</v>
      </c>
      <c r="G5" s="105">
        <f>90805+50000+54000</f>
        <v>194805</v>
      </c>
      <c r="H5" s="105">
        <f>G5*(1+H7)</f>
        <v>276623.09999999998</v>
      </c>
      <c r="I5" s="105">
        <f>H5*(1+I7)</f>
        <v>351311.337</v>
      </c>
      <c r="J5" s="105">
        <f>I5*(1+J7)</f>
        <v>407521.15091999999</v>
      </c>
      <c r="K5" s="105">
        <f>J5*(1+K7)</f>
        <v>497175.80412239995</v>
      </c>
      <c r="M5" s="105"/>
      <c r="N5" s="5" t="s">
        <v>352</v>
      </c>
      <c r="O5" s="10">
        <f>'01_Historical_IS'!B5/'01_Historical_IS'!B3</f>
        <v>0.61989375343469499</v>
      </c>
      <c r="P5" s="10">
        <f>'01_Historical_IS'!C5/'01_Historical_IS'!C3</f>
        <v>0.62344827586206897</v>
      </c>
      <c r="Q5" s="10">
        <f>'01_Historical_IS'!D5/'01_Historical_IS'!D3</f>
        <v>0.64929033216913135</v>
      </c>
      <c r="R5" s="10">
        <f>'01_Historical_IS'!E5/'01_Historical_IS'!E3</f>
        <v>0.56928894490991322</v>
      </c>
      <c r="S5" s="10">
        <f>'01_Historical_IS'!F5/'01_Historical_IS'!F3</f>
        <v>0.72717573290436954</v>
      </c>
      <c r="T5" s="10">
        <f>'01_Historical_IS'!G5/'01_Historical_IS'!G3</f>
        <v>0.74988697058169917</v>
      </c>
      <c r="U5" s="105"/>
      <c r="V5" s="105"/>
      <c r="W5" s="105"/>
      <c r="X5" s="105"/>
      <c r="Y5" s="105"/>
      <c r="AA5" s="43"/>
      <c r="AB5" s="83"/>
      <c r="AC5" s="83"/>
      <c r="AD5" s="83"/>
      <c r="AE5" s="48"/>
      <c r="AF5" s="48"/>
      <c r="AG5" s="48"/>
      <c r="AH5" s="16"/>
      <c r="AI5" s="16"/>
      <c r="AJ5" s="16"/>
      <c r="AK5" s="16"/>
      <c r="AL5" s="16"/>
    </row>
    <row r="6" spans="1:38" ht="15.6" customHeight="1" x14ac:dyDescent="0.3">
      <c r="A6" s="4" t="s">
        <v>353</v>
      </c>
      <c r="B6" s="105"/>
      <c r="C6" s="9">
        <f>(C5/B5)-1</f>
        <v>0.5849761051373954</v>
      </c>
      <c r="D6" s="9">
        <f>(D5/C5)-1</f>
        <v>0.4138320927164798</v>
      </c>
      <c r="E6" s="9">
        <f>(E5/D5)-1</f>
        <v>2.1672775741419525</v>
      </c>
      <c r="F6" s="9">
        <f>(F5/E5)-1</f>
        <v>1.4236927932667016</v>
      </c>
      <c r="G6" s="9"/>
      <c r="H6" s="9"/>
      <c r="I6" s="9"/>
      <c r="J6" s="9"/>
      <c r="K6" s="9"/>
      <c r="N6" s="377" t="s">
        <v>354</v>
      </c>
      <c r="O6" s="377"/>
      <c r="P6" s="378"/>
      <c r="Q6" s="379"/>
      <c r="R6" s="378"/>
      <c r="S6" s="378"/>
      <c r="T6" s="378"/>
      <c r="U6" s="380">
        <f>T5+2%</f>
        <v>0.76988697058169919</v>
      </c>
      <c r="V6" s="380">
        <f>U6+2%</f>
        <v>0.78988697058169921</v>
      </c>
      <c r="W6" s="380">
        <f>V6+2%</f>
        <v>0.80988697058169923</v>
      </c>
      <c r="X6" s="380">
        <f>W6+2%</f>
        <v>0.82988697058169925</v>
      </c>
      <c r="Y6" s="380">
        <f>X6+2%</f>
        <v>0.84988697058169926</v>
      </c>
      <c r="AA6" s="43"/>
      <c r="AB6" s="43"/>
      <c r="AC6" s="113"/>
      <c r="AD6" s="381"/>
      <c r="AE6" s="113"/>
      <c r="AF6" s="113"/>
      <c r="AG6" s="113"/>
      <c r="AH6" s="83"/>
      <c r="AI6" s="83"/>
      <c r="AJ6" s="83"/>
      <c r="AK6" s="83"/>
      <c r="AL6" s="83"/>
    </row>
    <row r="7" spans="1:38" ht="15.6" customHeight="1" x14ac:dyDescent="0.3">
      <c r="A7" s="377" t="s">
        <v>354</v>
      </c>
      <c r="B7" s="378"/>
      <c r="C7" s="379"/>
      <c r="D7" s="378"/>
      <c r="E7" s="378"/>
      <c r="F7" s="378"/>
      <c r="G7" s="379">
        <f>69%</f>
        <v>0.69</v>
      </c>
      <c r="H7" s="379">
        <v>0.42</v>
      </c>
      <c r="I7" s="379">
        <v>0.27</v>
      </c>
      <c r="J7" s="379">
        <v>0.16</v>
      </c>
      <c r="K7" s="379">
        <v>0.22</v>
      </c>
      <c r="N7" s="4" t="s">
        <v>355</v>
      </c>
      <c r="O7" s="4"/>
      <c r="P7" s="105"/>
      <c r="Q7" s="105"/>
      <c r="R7" s="105"/>
      <c r="S7" s="105"/>
      <c r="T7" s="105"/>
      <c r="U7" s="323">
        <f>U6+5%</f>
        <v>0.81988697058169924</v>
      </c>
      <c r="V7" s="323">
        <f>V6+5%</f>
        <v>0.83988697058169925</v>
      </c>
      <c r="W7" s="323">
        <f>W6+5%</f>
        <v>0.85988697058169927</v>
      </c>
      <c r="X7" s="323">
        <f>X6+5%</f>
        <v>0.87988697058169929</v>
      </c>
      <c r="Y7" s="323">
        <f>Y6+5%</f>
        <v>0.89988697058169931</v>
      </c>
      <c r="AA7" s="42"/>
      <c r="AB7" s="42"/>
      <c r="AC7" s="83"/>
      <c r="AD7" s="83"/>
      <c r="AE7" s="83"/>
      <c r="AF7" s="83"/>
      <c r="AG7" s="83"/>
      <c r="AH7" s="83"/>
      <c r="AI7" s="83"/>
      <c r="AJ7" s="83"/>
      <c r="AK7" s="83"/>
      <c r="AL7" s="83"/>
    </row>
    <row r="8" spans="1:38" ht="15.6" customHeight="1" x14ac:dyDescent="0.3">
      <c r="A8" s="4" t="s">
        <v>355</v>
      </c>
      <c r="B8" s="105"/>
      <c r="C8" s="105"/>
      <c r="D8" s="105"/>
      <c r="E8" s="105"/>
      <c r="F8" s="105"/>
      <c r="G8" s="9">
        <v>0.95</v>
      </c>
      <c r="H8" s="91">
        <v>0.55000000000000004</v>
      </c>
      <c r="I8" s="91">
        <v>0.35</v>
      </c>
      <c r="J8" s="91">
        <v>0.22</v>
      </c>
      <c r="K8" s="91">
        <v>0.42</v>
      </c>
      <c r="M8" s="132"/>
      <c r="N8" s="4" t="s">
        <v>356</v>
      </c>
      <c r="O8" s="4"/>
      <c r="P8" s="105"/>
      <c r="Q8" s="105"/>
      <c r="R8" s="105"/>
      <c r="S8" s="105"/>
      <c r="T8" s="105"/>
      <c r="U8" s="323">
        <v>0.66</v>
      </c>
      <c r="V8" s="382">
        <v>0.65500000000000003</v>
      </c>
      <c r="W8" s="382">
        <v>0.65</v>
      </c>
      <c r="X8" s="382">
        <v>0.65</v>
      </c>
      <c r="Y8" s="382">
        <v>0.64500000000000002</v>
      </c>
      <c r="AA8" s="42"/>
      <c r="AB8" s="42"/>
      <c r="AC8" s="83"/>
      <c r="AD8" s="83"/>
      <c r="AE8" s="83"/>
      <c r="AF8" s="83"/>
      <c r="AG8" s="83"/>
      <c r="AH8" s="83"/>
      <c r="AI8" s="85"/>
      <c r="AJ8" s="85"/>
      <c r="AK8" s="85"/>
      <c r="AL8" s="85"/>
    </row>
    <row r="9" spans="1:38" ht="15.6" customHeight="1" x14ac:dyDescent="0.3">
      <c r="A9" s="4" t="s">
        <v>356</v>
      </c>
      <c r="B9" s="105"/>
      <c r="C9" s="105"/>
      <c r="D9" s="105"/>
      <c r="E9" s="105"/>
      <c r="F9" s="105"/>
      <c r="G9" s="9">
        <v>0.5</v>
      </c>
      <c r="H9" s="383">
        <v>0.12</v>
      </c>
      <c r="I9" s="383">
        <v>0.04</v>
      </c>
      <c r="J9" s="383">
        <v>-0.05</v>
      </c>
      <c r="K9" s="383">
        <v>0.02</v>
      </c>
      <c r="N9" s="4"/>
      <c r="O9" s="4"/>
      <c r="P9" s="105"/>
      <c r="Q9" s="105"/>
      <c r="R9" s="105"/>
      <c r="S9" s="105"/>
      <c r="T9" s="105"/>
      <c r="U9" s="323"/>
      <c r="V9" s="384"/>
      <c r="W9" s="384"/>
      <c r="X9" s="384"/>
      <c r="Y9" s="384"/>
      <c r="AA9" s="42"/>
      <c r="AB9" s="42"/>
      <c r="AC9" s="83"/>
      <c r="AD9" s="83"/>
      <c r="AE9" s="83"/>
      <c r="AF9" s="83"/>
      <c r="AG9" s="83"/>
      <c r="AH9" s="83"/>
      <c r="AI9" s="83"/>
      <c r="AJ9" s="83"/>
      <c r="AK9" s="83"/>
      <c r="AL9" s="83"/>
    </row>
    <row r="10" spans="1:38" ht="15.6" customHeight="1" x14ac:dyDescent="0.3">
      <c r="A10" s="4"/>
      <c r="B10" s="105"/>
      <c r="C10" s="105"/>
      <c r="D10" s="105"/>
      <c r="E10" s="105"/>
      <c r="F10" s="105"/>
      <c r="G10" s="9"/>
      <c r="H10" s="91"/>
      <c r="I10" s="91"/>
      <c r="J10" s="91"/>
      <c r="K10" s="91"/>
      <c r="N10" s="5" t="s">
        <v>357</v>
      </c>
      <c r="O10" s="10">
        <f>'01_Historical_IS'!B8/'01_Historical_IS'!B3</f>
        <v>0.25911339073090311</v>
      </c>
      <c r="P10" s="10">
        <f>'01_Historical_IS'!C8/'01_Historical_IS'!C3</f>
        <v>0.2353223388305847</v>
      </c>
      <c r="Q10" s="10">
        <f>'01_Historical_IS'!D8/'01_Historical_IS'!D3</f>
        <v>0.19573456193802483</v>
      </c>
      <c r="R10" s="10">
        <f>'01_Historical_IS'!E8/'01_Historical_IS'!E3</f>
        <v>0.27207681471046191</v>
      </c>
      <c r="S10" s="10">
        <f>'01_Historical_IS'!F8/'01_Historical_IS'!F3</f>
        <v>0.14239519385443683</v>
      </c>
      <c r="T10" s="10">
        <f>'01_Historical_IS'!G8/'01_Historical_IS'!G3</f>
        <v>9.8960129351632606E-2</v>
      </c>
      <c r="U10" s="385"/>
      <c r="V10" s="385"/>
      <c r="W10" s="385"/>
      <c r="X10" s="385"/>
      <c r="Y10" s="385"/>
      <c r="AA10" s="84"/>
      <c r="AB10" s="83"/>
      <c r="AC10" s="85"/>
      <c r="AD10" s="83"/>
      <c r="AE10" s="47"/>
      <c r="AF10" s="47"/>
      <c r="AG10" s="47"/>
      <c r="AH10" s="83"/>
      <c r="AI10" s="83"/>
      <c r="AJ10" s="83"/>
      <c r="AK10" s="83"/>
      <c r="AL10" s="83"/>
    </row>
    <row r="11" spans="1:38" ht="15.6" customHeight="1" x14ac:dyDescent="0.3">
      <c r="A11" s="5" t="s">
        <v>358</v>
      </c>
      <c r="B11" s="375">
        <v>7759</v>
      </c>
      <c r="C11" s="375">
        <v>12462</v>
      </c>
      <c r="D11" s="386">
        <v>9067</v>
      </c>
      <c r="E11" s="386">
        <v>10447</v>
      </c>
      <c r="F11" s="386">
        <v>11350</v>
      </c>
      <c r="G11" s="105">
        <f>F11*(1+G13)</f>
        <v>11917.5</v>
      </c>
      <c r="H11" s="105">
        <f>G11*(1+H13)</f>
        <v>12275.025</v>
      </c>
      <c r="I11" s="105">
        <f>H11*(1+I13)</f>
        <v>12520.5255</v>
      </c>
      <c r="J11" s="105">
        <f>I11*(1+J13)</f>
        <v>12770.936009999999</v>
      </c>
      <c r="K11" s="105">
        <f>J11*(1+K13)</f>
        <v>13154.0640903</v>
      </c>
      <c r="N11" s="377" t="s">
        <v>354</v>
      </c>
      <c r="O11" s="377"/>
      <c r="P11" s="378"/>
      <c r="Q11" s="378"/>
      <c r="R11" s="378"/>
      <c r="S11" s="378"/>
      <c r="T11" s="378"/>
      <c r="U11" s="380">
        <v>9.5000000000000001E-2</v>
      </c>
      <c r="V11" s="380">
        <v>9.2999999999999999E-2</v>
      </c>
      <c r="W11" s="380">
        <v>0.09</v>
      </c>
      <c r="X11" s="380">
        <v>8.7999999999999995E-2</v>
      </c>
      <c r="Y11" s="380">
        <v>8.5000000000000006E-2</v>
      </c>
      <c r="AA11" s="43"/>
      <c r="AB11" s="4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</row>
    <row r="12" spans="1:38" ht="15.6" customHeight="1" x14ac:dyDescent="0.3">
      <c r="A12" s="4" t="s">
        <v>359</v>
      </c>
      <c r="B12" s="105"/>
      <c r="C12" s="9">
        <f>(C11/B11)-1</f>
        <v>0.60613481118700863</v>
      </c>
      <c r="D12" s="9">
        <f>(D11/C11)-1</f>
        <v>-0.27242818167228378</v>
      </c>
      <c r="E12" s="9">
        <f>(E11/D11)-1</f>
        <v>0.15220028675416342</v>
      </c>
      <c r="F12" s="9">
        <f>(F11/E11)-1</f>
        <v>8.643629750167503E-2</v>
      </c>
      <c r="G12" s="9"/>
      <c r="H12" s="9"/>
      <c r="I12" s="9"/>
      <c r="J12" s="9"/>
      <c r="K12" s="9"/>
      <c r="N12" s="4" t="s">
        <v>355</v>
      </c>
      <c r="O12" s="4"/>
      <c r="P12" s="105"/>
      <c r="Q12" s="105"/>
      <c r="R12" s="105"/>
      <c r="S12" s="105"/>
      <c r="T12" s="105"/>
      <c r="U12" s="323">
        <v>8.7999999999999995E-2</v>
      </c>
      <c r="V12" s="384">
        <v>8.5000000000000006E-2</v>
      </c>
      <c r="W12" s="384">
        <v>8.3000000000000004E-2</v>
      </c>
      <c r="X12" s="384">
        <v>0.08</v>
      </c>
      <c r="Y12" s="384">
        <v>7.8E-2</v>
      </c>
      <c r="AA12" s="42"/>
      <c r="AB12" s="42"/>
      <c r="AC12" s="83"/>
      <c r="AD12" s="83"/>
      <c r="AE12" s="83"/>
      <c r="AF12" s="83"/>
      <c r="AG12" s="83"/>
      <c r="AH12" s="83"/>
      <c r="AI12" s="83"/>
      <c r="AJ12" s="83"/>
      <c r="AK12" s="83"/>
      <c r="AL12" s="83"/>
    </row>
    <row r="13" spans="1:38" ht="15.6" customHeight="1" x14ac:dyDescent="0.3">
      <c r="A13" s="377" t="s">
        <v>354</v>
      </c>
      <c r="B13" s="378"/>
      <c r="C13" s="378"/>
      <c r="D13" s="378"/>
      <c r="E13" s="378"/>
      <c r="F13" s="378"/>
      <c r="G13" s="379">
        <v>0.05</v>
      </c>
      <c r="H13" s="379">
        <v>0.03</v>
      </c>
      <c r="I13" s="379">
        <v>0.02</v>
      </c>
      <c r="J13" s="379">
        <v>0.02</v>
      </c>
      <c r="K13" s="379">
        <v>0.03</v>
      </c>
      <c r="N13" s="4" t="s">
        <v>356</v>
      </c>
      <c r="O13" s="4"/>
      <c r="P13" s="105"/>
      <c r="Q13" s="105"/>
      <c r="R13" s="105"/>
      <c r="S13" s="105"/>
      <c r="T13" s="105"/>
      <c r="U13" s="323">
        <v>0.105</v>
      </c>
      <c r="V13" s="382">
        <v>0.11</v>
      </c>
      <c r="W13" s="382">
        <v>0.11</v>
      </c>
      <c r="X13" s="382">
        <v>0.105</v>
      </c>
      <c r="Y13" s="382">
        <v>0.1</v>
      </c>
      <c r="AA13" s="42"/>
      <c r="AB13" s="42"/>
      <c r="AC13" s="83"/>
      <c r="AD13" s="83"/>
      <c r="AE13" s="83"/>
      <c r="AF13" s="83"/>
      <c r="AG13" s="83"/>
      <c r="AH13" s="83"/>
      <c r="AI13" s="85"/>
      <c r="AJ13" s="85"/>
      <c r="AK13" s="85"/>
      <c r="AL13" s="85"/>
    </row>
    <row r="14" spans="1:38" ht="15.6" customHeight="1" x14ac:dyDescent="0.3">
      <c r="A14" s="4" t="s">
        <v>355</v>
      </c>
      <c r="B14" s="105"/>
      <c r="C14" s="105"/>
      <c r="D14" s="105"/>
      <c r="E14" s="105"/>
      <c r="F14" s="105"/>
      <c r="G14" s="9">
        <v>0.15</v>
      </c>
      <c r="H14" s="91">
        <v>0.1</v>
      </c>
      <c r="I14" s="91">
        <v>0.08</v>
      </c>
      <c r="J14" s="91">
        <v>0.05</v>
      </c>
      <c r="K14" s="91">
        <v>7.0000000000000007E-2</v>
      </c>
      <c r="N14" s="4"/>
      <c r="O14" s="4"/>
      <c r="P14" s="105"/>
      <c r="Q14" s="105"/>
      <c r="R14" s="105"/>
      <c r="S14" s="105"/>
      <c r="T14" s="105"/>
      <c r="U14" s="323"/>
      <c r="V14" s="384"/>
      <c r="W14" s="384"/>
      <c r="X14" s="384"/>
      <c r="Y14" s="384"/>
      <c r="AA14" s="42"/>
      <c r="AB14" s="42"/>
      <c r="AC14" s="83"/>
      <c r="AD14" s="83"/>
      <c r="AE14" s="83"/>
      <c r="AF14" s="83"/>
      <c r="AG14" s="83"/>
      <c r="AH14" s="83"/>
      <c r="AI14" s="83"/>
      <c r="AJ14" s="83"/>
      <c r="AK14" s="83"/>
      <c r="AL14" s="83"/>
    </row>
    <row r="15" spans="1:38" ht="15.6" customHeight="1" x14ac:dyDescent="0.3">
      <c r="A15" s="4" t="s">
        <v>356</v>
      </c>
      <c r="B15" s="105"/>
      <c r="C15" s="105"/>
      <c r="D15" s="105"/>
      <c r="E15" s="105"/>
      <c r="F15" s="105"/>
      <c r="G15" s="9">
        <v>-0.05</v>
      </c>
      <c r="H15" s="383">
        <v>-0.05</v>
      </c>
      <c r="I15" s="383">
        <v>-0.04</v>
      </c>
      <c r="J15" s="383">
        <v>-0.05</v>
      </c>
      <c r="K15" s="383">
        <v>0.02</v>
      </c>
      <c r="M15" s="28"/>
      <c r="N15" s="5" t="s">
        <v>360</v>
      </c>
      <c r="O15" s="10">
        <f>'01_Historical_IS'!B9/'01_Historical_IS'!B3</f>
        <v>0.10010991023997069</v>
      </c>
      <c r="P15" s="10">
        <f>'01_Historical_IS'!C9/'01_Historical_IS'!C3</f>
        <v>0.11634182908545727</v>
      </c>
      <c r="Q15" s="10">
        <f>'01_Historical_IS'!D9/'01_Historical_IS'!D3</f>
        <v>8.0478561343538674E-2</v>
      </c>
      <c r="R15" s="10">
        <f>'01_Historical_IS'!E9/'01_Historical_IS'!E3</f>
        <v>9.0457477570994288E-2</v>
      </c>
      <c r="S15" s="10">
        <f>'01_Historical_IS'!F9/'01_Historical_IS'!F3</f>
        <v>4.3563901382095135E-2</v>
      </c>
      <c r="T15" s="10">
        <f>'01_Historical_IS'!G9/'01_Historical_IS'!G3</f>
        <v>2.6751572833091947E-2</v>
      </c>
      <c r="U15" s="385"/>
      <c r="V15" s="385"/>
      <c r="W15" s="385"/>
      <c r="X15" s="385"/>
      <c r="Y15" s="385"/>
      <c r="AA15" s="43"/>
      <c r="AB15" s="83"/>
      <c r="AC15" s="83"/>
      <c r="AD15" s="83"/>
      <c r="AE15" s="48"/>
      <c r="AF15" s="48"/>
      <c r="AG15" s="48"/>
      <c r="AH15" s="83"/>
      <c r="AI15" s="83"/>
      <c r="AJ15" s="83"/>
      <c r="AK15" s="83"/>
      <c r="AL15" s="83"/>
    </row>
    <row r="16" spans="1:38" ht="15.6" customHeight="1" x14ac:dyDescent="0.3">
      <c r="A16" s="4"/>
      <c r="B16" s="105"/>
      <c r="C16" s="105"/>
      <c r="D16" s="105"/>
      <c r="E16" s="105"/>
      <c r="F16" s="105"/>
      <c r="G16" s="9"/>
      <c r="H16" s="91"/>
      <c r="I16" s="91"/>
      <c r="J16" s="91"/>
      <c r="K16" s="91"/>
      <c r="N16" s="377" t="s">
        <v>354</v>
      </c>
      <c r="O16" s="377"/>
      <c r="P16" s="378"/>
      <c r="Q16" s="378"/>
      <c r="R16" s="378"/>
      <c r="S16" s="378"/>
      <c r="T16" s="378"/>
      <c r="U16" s="380">
        <v>2.5000000000000001E-2</v>
      </c>
      <c r="V16" s="380">
        <v>2.4E-2</v>
      </c>
      <c r="W16" s="380">
        <v>2.3E-2</v>
      </c>
      <c r="X16" s="380">
        <v>2.1999999999999999E-2</v>
      </c>
      <c r="Y16" s="380">
        <v>2.1999999999999999E-2</v>
      </c>
      <c r="AA16" s="43"/>
      <c r="AB16" s="4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</row>
    <row r="17" spans="1:38" ht="15.6" customHeight="1" x14ac:dyDescent="0.3">
      <c r="A17" s="5" t="s">
        <v>361</v>
      </c>
      <c r="B17" s="375">
        <v>1053</v>
      </c>
      <c r="C17" s="375">
        <v>2111</v>
      </c>
      <c r="D17" s="376">
        <v>1544</v>
      </c>
      <c r="E17" s="376">
        <v>1553</v>
      </c>
      <c r="F17" s="376">
        <v>1878</v>
      </c>
      <c r="G17" s="105">
        <f>F17*(1+G19)</f>
        <v>1990.68</v>
      </c>
      <c r="H17" s="105">
        <f>G17*(1+H19)</f>
        <v>2130.0276000000003</v>
      </c>
      <c r="I17" s="105">
        <f>H17*(1+I19)</f>
        <v>2236.5289800000005</v>
      </c>
      <c r="J17" s="105">
        <f>I17*(1+J19)</f>
        <v>2325.9901392000006</v>
      </c>
      <c r="K17" s="105">
        <f>J17*(1+K19)</f>
        <v>2442.2896461600008</v>
      </c>
      <c r="N17" s="4" t="s">
        <v>355</v>
      </c>
      <c r="O17" s="4"/>
      <c r="P17" s="105"/>
      <c r="Q17" s="105"/>
      <c r="R17" s="105"/>
      <c r="S17" s="105"/>
      <c r="T17" s="105"/>
      <c r="U17" s="323">
        <v>2.4E-2</v>
      </c>
      <c r="V17" s="323">
        <v>2.1999999999999999E-2</v>
      </c>
      <c r="W17" s="323">
        <v>2.1000000000000001E-2</v>
      </c>
      <c r="X17" s="323">
        <v>0.02</v>
      </c>
      <c r="Y17" s="323">
        <v>0.02</v>
      </c>
      <c r="AA17" s="42"/>
      <c r="AB17" s="42"/>
      <c r="AC17" s="83"/>
      <c r="AD17" s="83"/>
      <c r="AE17" s="83"/>
      <c r="AF17" s="83"/>
      <c r="AG17" s="83"/>
      <c r="AH17" s="83"/>
      <c r="AI17" s="83"/>
      <c r="AJ17" s="83"/>
      <c r="AK17" s="83"/>
      <c r="AL17" s="83"/>
    </row>
    <row r="18" spans="1:38" ht="15.6" customHeight="1" x14ac:dyDescent="0.3">
      <c r="A18" s="4" t="s">
        <v>362</v>
      </c>
      <c r="B18" s="105"/>
      <c r="C18" s="9">
        <f>(C17/B17)-1</f>
        <v>1.0047483380816713</v>
      </c>
      <c r="D18" s="9">
        <f>(D17/C17)-1</f>
        <v>-0.26859308384651825</v>
      </c>
      <c r="E18" s="9">
        <f>(E17/D17)-1</f>
        <v>5.8290155440414715E-3</v>
      </c>
      <c r="F18" s="9">
        <f>(F17/E17)-1</f>
        <v>0.20927237604636195</v>
      </c>
      <c r="G18" s="9"/>
      <c r="H18" s="9"/>
      <c r="I18" s="9"/>
      <c r="J18" s="9"/>
      <c r="K18" s="9"/>
      <c r="N18" s="4" t="s">
        <v>356</v>
      </c>
      <c r="O18" s="4"/>
      <c r="P18" s="105"/>
      <c r="Q18" s="105"/>
      <c r="R18" s="105"/>
      <c r="S18" s="105"/>
      <c r="T18" s="105"/>
      <c r="U18" s="323">
        <v>2.8000000000000001E-2</v>
      </c>
      <c r="V18" s="323">
        <v>0.03</v>
      </c>
      <c r="W18" s="323">
        <v>3.1E-2</v>
      </c>
      <c r="X18" s="323">
        <v>0.03</v>
      </c>
      <c r="Y18" s="323">
        <v>0.03</v>
      </c>
      <c r="AA18" s="42"/>
      <c r="AB18" s="42"/>
      <c r="AC18" s="83"/>
      <c r="AD18" s="83"/>
      <c r="AE18" s="83"/>
      <c r="AF18" s="83"/>
      <c r="AG18" s="83"/>
      <c r="AH18" s="83"/>
      <c r="AI18" s="83"/>
      <c r="AJ18" s="83"/>
      <c r="AK18" s="83"/>
      <c r="AL18" s="83"/>
    </row>
    <row r="19" spans="1:38" ht="15.6" customHeight="1" x14ac:dyDescent="0.3">
      <c r="A19" s="377" t="s">
        <v>354</v>
      </c>
      <c r="B19" s="378"/>
      <c r="C19" s="378"/>
      <c r="D19" s="378"/>
      <c r="E19" s="378"/>
      <c r="F19" s="378"/>
      <c r="G19" s="379">
        <v>0.06</v>
      </c>
      <c r="H19" s="379">
        <v>7.0000000000000007E-2</v>
      </c>
      <c r="I19" s="379">
        <v>0.05</v>
      </c>
      <c r="J19" s="379">
        <v>0.04</v>
      </c>
      <c r="K19" s="379">
        <v>0.05</v>
      </c>
      <c r="AA19" s="16"/>
      <c r="AB19" s="16"/>
      <c r="AC19" s="16"/>
      <c r="AD19" s="16"/>
      <c r="AE19" s="16"/>
      <c r="AF19" s="16"/>
      <c r="AG19" s="16"/>
      <c r="AH19" s="116"/>
      <c r="AI19" s="116"/>
      <c r="AJ19" s="116"/>
      <c r="AK19" s="116"/>
      <c r="AL19" s="116"/>
    </row>
    <row r="20" spans="1:38" ht="15.6" customHeight="1" x14ac:dyDescent="0.3">
      <c r="A20" s="4" t="s">
        <v>355</v>
      </c>
      <c r="B20" s="105"/>
      <c r="C20" s="105"/>
      <c r="D20" s="105"/>
      <c r="E20" s="105"/>
      <c r="F20" s="105"/>
      <c r="G20" s="9">
        <v>0.15</v>
      </c>
      <c r="H20" s="9">
        <v>0.12</v>
      </c>
      <c r="I20" s="9">
        <v>0.1</v>
      </c>
      <c r="J20" s="9">
        <v>0.1</v>
      </c>
      <c r="K20" s="9">
        <v>0.11</v>
      </c>
      <c r="AA20" s="84"/>
      <c r="AB20" s="83"/>
      <c r="AC20" s="85"/>
      <c r="AD20" s="83"/>
      <c r="AE20" s="47"/>
      <c r="AF20" s="47"/>
      <c r="AG20" s="47"/>
      <c r="AH20" s="83"/>
      <c r="AI20" s="83"/>
      <c r="AJ20" s="83"/>
      <c r="AK20" s="83"/>
      <c r="AL20" s="83"/>
    </row>
    <row r="21" spans="1:38" ht="15.6" customHeight="1" x14ac:dyDescent="0.3">
      <c r="A21" s="4" t="s">
        <v>356</v>
      </c>
      <c r="B21" s="105"/>
      <c r="C21" s="105"/>
      <c r="D21" s="105"/>
      <c r="E21" s="105"/>
      <c r="F21" s="105"/>
      <c r="G21" s="9">
        <v>-0.02</v>
      </c>
      <c r="H21" s="9">
        <v>0</v>
      </c>
      <c r="I21" s="9">
        <v>-0.03</v>
      </c>
      <c r="J21" s="9">
        <v>-0.02</v>
      </c>
      <c r="K21" s="9">
        <v>0.02</v>
      </c>
      <c r="AA21" s="43"/>
      <c r="AB21" s="4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</row>
    <row r="22" spans="1:38" ht="15.6" customHeight="1" x14ac:dyDescent="0.3">
      <c r="A22" s="4"/>
      <c r="B22" s="105"/>
      <c r="C22" s="105"/>
      <c r="D22" s="105"/>
      <c r="E22" s="105"/>
      <c r="F22" s="105"/>
      <c r="G22" s="9"/>
      <c r="H22" s="9"/>
      <c r="I22" s="9"/>
      <c r="J22" s="9"/>
      <c r="K22" s="9"/>
      <c r="T22" s="48"/>
      <c r="U22" s="9"/>
      <c r="V22" s="9"/>
      <c r="W22" s="9"/>
      <c r="X22" s="9"/>
      <c r="Y22" s="9"/>
      <c r="AA22" s="42"/>
      <c r="AB22" s="42"/>
      <c r="AC22" s="83"/>
      <c r="AD22" s="83"/>
      <c r="AE22" s="83"/>
      <c r="AF22" s="83"/>
      <c r="AG22" s="83"/>
      <c r="AH22" s="83"/>
      <c r="AI22" s="83"/>
      <c r="AJ22" s="83"/>
      <c r="AK22" s="83"/>
      <c r="AL22" s="83"/>
    </row>
    <row r="23" spans="1:38" ht="15.6" customHeight="1" x14ac:dyDescent="0.3">
      <c r="A23" s="5" t="s">
        <v>363</v>
      </c>
      <c r="B23" s="375">
        <v>536</v>
      </c>
      <c r="C23" s="375">
        <v>566</v>
      </c>
      <c r="D23" s="386">
        <v>903</v>
      </c>
      <c r="E23" s="386">
        <v>1091</v>
      </c>
      <c r="F23" s="386">
        <v>1694</v>
      </c>
      <c r="G23" s="105">
        <f>F23*(1+G25)</f>
        <v>2456.2999999999997</v>
      </c>
      <c r="H23" s="105">
        <f>G23*(1+H25)</f>
        <v>3684.45</v>
      </c>
      <c r="I23" s="105">
        <f>H23*(1+I25)</f>
        <v>4974.0074999999997</v>
      </c>
      <c r="J23" s="105">
        <f>I23*(1+J25)</f>
        <v>6267.2494499999993</v>
      </c>
      <c r="K23" s="105">
        <f>J23*(1+K25)</f>
        <v>8460.7867575</v>
      </c>
      <c r="T23" s="47"/>
      <c r="U23" s="83"/>
      <c r="V23" s="83"/>
      <c r="W23" s="83"/>
      <c r="X23" s="83"/>
      <c r="Y23" s="83"/>
      <c r="AA23" s="42"/>
      <c r="AB23" s="42"/>
      <c r="AC23" s="83"/>
      <c r="AD23" s="83"/>
      <c r="AE23" s="83"/>
      <c r="AF23" s="83"/>
      <c r="AG23" s="83"/>
      <c r="AH23" s="83"/>
      <c r="AI23" s="83"/>
      <c r="AJ23" s="83"/>
      <c r="AK23" s="83"/>
      <c r="AL23" s="83"/>
    </row>
    <row r="24" spans="1:38" ht="15.6" customHeight="1" x14ac:dyDescent="0.3">
      <c r="A24" s="4" t="s">
        <v>364</v>
      </c>
      <c r="B24" s="105"/>
      <c r="C24" s="9">
        <f>(C23/B23)-1</f>
        <v>5.5970149253731449E-2</v>
      </c>
      <c r="D24" s="9">
        <f>(D23/C23)-1</f>
        <v>0.59540636042402828</v>
      </c>
      <c r="E24" s="9">
        <f>(E23/D23)-1</f>
        <v>0.20819490586932443</v>
      </c>
      <c r="F24" s="9">
        <f>(F23/E23)-1</f>
        <v>0.55270394133822176</v>
      </c>
      <c r="G24" s="9"/>
      <c r="H24" s="9"/>
      <c r="I24" s="9"/>
      <c r="J24" s="9"/>
      <c r="K24" s="9"/>
      <c r="M24" s="347" t="s">
        <v>365</v>
      </c>
      <c r="N24" s="347">
        <v>2021</v>
      </c>
      <c r="O24" s="347">
        <v>2022</v>
      </c>
      <c r="P24" s="347">
        <v>2023</v>
      </c>
      <c r="Q24" s="347">
        <v>2024</v>
      </c>
      <c r="R24" s="347">
        <v>2025</v>
      </c>
      <c r="T24" s="48"/>
      <c r="U24" s="91"/>
      <c r="V24" s="91"/>
      <c r="W24" s="91"/>
      <c r="X24" s="91"/>
      <c r="Y24" s="91"/>
      <c r="AH24" s="33"/>
      <c r="AI24" s="33"/>
      <c r="AJ24" s="33"/>
      <c r="AK24" s="33"/>
      <c r="AL24" s="33"/>
    </row>
    <row r="25" spans="1:38" ht="15.6" customHeight="1" x14ac:dyDescent="0.3">
      <c r="A25" s="377" t="s">
        <v>354</v>
      </c>
      <c r="B25" s="378"/>
      <c r="C25" s="378"/>
      <c r="D25" s="378"/>
      <c r="E25" s="378"/>
      <c r="F25" s="378"/>
      <c r="G25" s="379">
        <v>0.45</v>
      </c>
      <c r="H25" s="379">
        <v>0.5</v>
      </c>
      <c r="I25" s="379">
        <v>0.35</v>
      </c>
      <c r="J25" s="379">
        <v>0.26</v>
      </c>
      <c r="K25" s="379">
        <v>0.35</v>
      </c>
      <c r="M25" s="347" t="s">
        <v>351</v>
      </c>
      <c r="N25" s="545">
        <f>B5/B35</f>
        <v>0.40155922038980507</v>
      </c>
      <c r="O25" s="545">
        <f>C5/C35</f>
        <v>0.39433008842981349</v>
      </c>
      <c r="P25" s="545">
        <f>D5/D35</f>
        <v>0.55627641432490549</v>
      </c>
      <c r="Q25" s="545">
        <f>E5/E35</f>
        <v>0.78009586028035849</v>
      </c>
      <c r="R25" s="545">
        <f>F5/F35</f>
        <v>0.88267163229806045</v>
      </c>
      <c r="T25" s="169"/>
      <c r="U25" s="381"/>
      <c r="V25" s="381"/>
      <c r="W25" s="381"/>
      <c r="X25" s="381"/>
      <c r="Y25" s="381"/>
      <c r="AH25" s="33"/>
      <c r="AI25" s="33"/>
      <c r="AJ25" s="33"/>
      <c r="AK25" s="33"/>
      <c r="AL25" s="33"/>
    </row>
    <row r="26" spans="1:38" ht="15.6" customHeight="1" x14ac:dyDescent="0.3">
      <c r="A26" s="4" t="s">
        <v>355</v>
      </c>
      <c r="B26" s="105"/>
      <c r="C26" s="105"/>
      <c r="D26" s="105"/>
      <c r="E26" s="105"/>
      <c r="F26" s="105"/>
      <c r="G26" s="9">
        <v>0.65</v>
      </c>
      <c r="H26" s="9">
        <v>1</v>
      </c>
      <c r="I26" s="9">
        <v>0.5</v>
      </c>
      <c r="J26" s="9">
        <v>0.42</v>
      </c>
      <c r="K26" s="9">
        <v>0.5</v>
      </c>
      <c r="M26" s="347" t="s">
        <v>358</v>
      </c>
      <c r="N26" s="545">
        <f>B11/B35</f>
        <v>0.46530734632683657</v>
      </c>
      <c r="O26" s="545">
        <f>C11/C35</f>
        <v>0.46303039310396077</v>
      </c>
      <c r="P26" s="545">
        <f>D11/D35</f>
        <v>0.3361385037443464</v>
      </c>
      <c r="Q26" s="545">
        <f>E11/E35</f>
        <v>0.17148156659334887</v>
      </c>
      <c r="R26" s="545">
        <f>F11/F35</f>
        <v>8.6975179506042291E-2</v>
      </c>
      <c r="T26" s="170"/>
      <c r="U26" s="91"/>
      <c r="V26" s="91"/>
      <c r="W26" s="91"/>
      <c r="X26" s="91"/>
      <c r="Y26" s="91"/>
      <c r="AH26" s="33"/>
      <c r="AI26" s="33"/>
      <c r="AJ26" s="33"/>
      <c r="AK26" s="33"/>
      <c r="AL26" s="33"/>
    </row>
    <row r="27" spans="1:38" ht="15.6" customHeight="1" x14ac:dyDescent="0.3">
      <c r="A27" s="4" t="s">
        <v>356</v>
      </c>
      <c r="B27" s="105"/>
      <c r="C27" s="105"/>
      <c r="D27" s="105"/>
      <c r="E27" s="105"/>
      <c r="F27" s="105"/>
      <c r="G27" s="9">
        <v>0.1</v>
      </c>
      <c r="H27" s="9">
        <v>0.05</v>
      </c>
      <c r="I27" s="9">
        <v>0.05</v>
      </c>
      <c r="J27" s="9">
        <v>0.03</v>
      </c>
      <c r="K27" s="9">
        <v>7.0000000000000007E-2</v>
      </c>
      <c r="M27" s="347" t="s">
        <v>361</v>
      </c>
      <c r="N27" s="545">
        <f>B17/B35</f>
        <v>6.3148425787106444E-2</v>
      </c>
      <c r="O27" s="545">
        <f>C17/C35</f>
        <v>7.843501523370737E-2</v>
      </c>
      <c r="P27" s="545">
        <f>D17/D35</f>
        <v>5.7240305479350488E-2</v>
      </c>
      <c r="Q27" s="545">
        <f>E17/E35</f>
        <v>2.5491612225468634E-2</v>
      </c>
      <c r="R27" s="545">
        <f>F17/F35</f>
        <v>1.4391135428400653E-2</v>
      </c>
      <c r="T27" s="47"/>
      <c r="U27" s="91"/>
      <c r="V27" s="91"/>
      <c r="W27" s="91"/>
      <c r="X27" s="91"/>
      <c r="Y27" s="91"/>
      <c r="AH27" s="33"/>
      <c r="AI27" s="33"/>
      <c r="AJ27" s="33"/>
      <c r="AK27" s="33"/>
      <c r="AL27" s="33"/>
    </row>
    <row r="28" spans="1:38" ht="15.6" customHeight="1" x14ac:dyDescent="0.3">
      <c r="A28" s="4"/>
      <c r="B28" s="105"/>
      <c r="C28" s="105"/>
      <c r="D28" s="105"/>
      <c r="E28" s="105"/>
      <c r="F28" s="105"/>
      <c r="G28" s="9"/>
      <c r="H28" s="9"/>
      <c r="I28" s="9"/>
      <c r="J28" s="9"/>
      <c r="K28" s="9"/>
      <c r="M28" s="347" t="s">
        <v>363</v>
      </c>
      <c r="N28" s="545">
        <f>B23/B35</f>
        <v>3.2143928035982011E-2</v>
      </c>
      <c r="O28" s="545">
        <f>C23/C35</f>
        <v>2.1029947239354984E-2</v>
      </c>
      <c r="P28" s="545">
        <f>D23/D35</f>
        <v>3.3476681248609773E-2</v>
      </c>
      <c r="Q28" s="545">
        <f>E23/E35</f>
        <v>1.7908144840944159E-2</v>
      </c>
      <c r="R28" s="545">
        <f>F23/F35</f>
        <v>1.2981141328919438E-2</v>
      </c>
      <c r="S28" s="83"/>
      <c r="T28" s="83"/>
      <c r="U28" s="91"/>
      <c r="V28" s="91"/>
      <c r="W28" s="91"/>
      <c r="X28" s="91"/>
      <c r="Y28" s="91"/>
    </row>
    <row r="29" spans="1:38" ht="15.6" customHeight="1" x14ac:dyDescent="0.3">
      <c r="A29" s="5" t="s">
        <v>366</v>
      </c>
      <c r="B29" s="375">
        <v>631</v>
      </c>
      <c r="C29" s="375">
        <v>1162</v>
      </c>
      <c r="D29" s="376">
        <v>455</v>
      </c>
      <c r="E29" s="376">
        <v>306</v>
      </c>
      <c r="F29" s="376">
        <v>389</v>
      </c>
      <c r="G29" s="105">
        <f>F29*(1+G31)</f>
        <v>396.78000000000003</v>
      </c>
      <c r="H29" s="105">
        <f>G29*(1+H31)</f>
        <v>408.68340000000006</v>
      </c>
      <c r="I29" s="105">
        <f>H29*(1+I31)</f>
        <v>416.85706800000008</v>
      </c>
      <c r="J29" s="105">
        <f>I29*(1+J31)</f>
        <v>425.19420936000012</v>
      </c>
      <c r="K29" s="105">
        <f>J29*(1+K31)</f>
        <v>437.95003564080014</v>
      </c>
      <c r="M29" s="347" t="s">
        <v>366</v>
      </c>
      <c r="N29" s="545">
        <f>B29/B35</f>
        <v>3.7841079460269864E-2</v>
      </c>
      <c r="O29" s="545">
        <f>C29/C35</f>
        <v>4.3174555993163409E-2</v>
      </c>
      <c r="P29" s="545">
        <f>D29/D35</f>
        <v>1.6868095202787869E-2</v>
      </c>
      <c r="Q29" s="545">
        <f>E29/E35</f>
        <v>5.0228160598798461E-3</v>
      </c>
      <c r="R29" s="545">
        <f>F29/F35</f>
        <v>2.9809114385771322E-3</v>
      </c>
      <c r="S29" s="376"/>
      <c r="T29" s="376"/>
      <c r="U29" s="83"/>
      <c r="V29" s="83"/>
      <c r="W29" s="83"/>
      <c r="X29" s="83"/>
      <c r="Y29" s="83"/>
    </row>
    <row r="30" spans="1:38" ht="15.6" customHeight="1" x14ac:dyDescent="0.3">
      <c r="A30" s="4" t="s">
        <v>367</v>
      </c>
      <c r="B30" s="105"/>
      <c r="C30" s="9">
        <f>(C29/B29)-1</f>
        <v>0.84152139461172748</v>
      </c>
      <c r="D30" s="9">
        <f>(D29/C29)-1</f>
        <v>-0.60843373493975905</v>
      </c>
      <c r="E30" s="9">
        <f>(E29/D29)-1</f>
        <v>-0.32747252747252742</v>
      </c>
      <c r="F30" s="9">
        <f>(F29/E29)-1</f>
        <v>0.2712418300653594</v>
      </c>
      <c r="G30" s="9"/>
      <c r="H30" s="9"/>
      <c r="I30" s="9"/>
      <c r="J30" s="9"/>
      <c r="K30" s="9"/>
      <c r="N30" s="42"/>
      <c r="O30" s="42"/>
      <c r="P30" s="83"/>
      <c r="Q30" s="91"/>
      <c r="R30" s="91"/>
      <c r="S30" s="91"/>
      <c r="T30" s="91"/>
      <c r="U30" s="91"/>
      <c r="V30" s="91"/>
      <c r="W30" s="91"/>
      <c r="X30" s="91"/>
      <c r="Y30" s="91"/>
    </row>
    <row r="31" spans="1:38" ht="15.6" customHeight="1" x14ac:dyDescent="0.3">
      <c r="A31" s="377" t="s">
        <v>354</v>
      </c>
      <c r="B31" s="378"/>
      <c r="C31" s="378"/>
      <c r="D31" s="378"/>
      <c r="E31" s="378"/>
      <c r="F31" s="378"/>
      <c r="G31" s="379">
        <v>0.02</v>
      </c>
      <c r="H31" s="379">
        <v>0.03</v>
      </c>
      <c r="I31" s="379">
        <v>0.02</v>
      </c>
      <c r="J31" s="379">
        <v>0.02</v>
      </c>
      <c r="K31" s="379">
        <v>0.03</v>
      </c>
      <c r="T31" s="113"/>
    </row>
    <row r="32" spans="1:38" ht="15.6" customHeight="1" x14ac:dyDescent="0.3">
      <c r="A32" s="4" t="s">
        <v>355</v>
      </c>
      <c r="B32" s="105"/>
      <c r="C32" s="105"/>
      <c r="D32" s="105"/>
      <c r="E32" s="105"/>
      <c r="F32" s="105"/>
      <c r="G32" s="9">
        <v>0.1</v>
      </c>
      <c r="H32" s="9">
        <v>0.12</v>
      </c>
      <c r="I32" s="9">
        <v>0.08</v>
      </c>
      <c r="J32" s="9">
        <v>0.06</v>
      </c>
      <c r="K32" s="9">
        <v>7.0000000000000007E-2</v>
      </c>
      <c r="T32" s="83"/>
    </row>
    <row r="33" spans="1:20" ht="15.6" customHeight="1" x14ac:dyDescent="0.3">
      <c r="A33" s="4" t="s">
        <v>356</v>
      </c>
      <c r="B33" s="105"/>
      <c r="C33" s="105"/>
      <c r="D33" s="105"/>
      <c r="E33" s="105"/>
      <c r="F33" s="105"/>
      <c r="G33" s="9">
        <v>-0.05</v>
      </c>
      <c r="H33" s="9">
        <v>-0.03</v>
      </c>
      <c r="I33" s="9">
        <v>-0.04</v>
      </c>
      <c r="J33" s="9">
        <v>-0.03</v>
      </c>
      <c r="K33" s="9">
        <v>-0.05</v>
      </c>
      <c r="T33" s="83"/>
    </row>
    <row r="34" spans="1:20" ht="15.6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T34" s="42"/>
    </row>
    <row r="35" spans="1:20" ht="15.6" customHeight="1" x14ac:dyDescent="0.3">
      <c r="A35" s="6" t="s">
        <v>368</v>
      </c>
      <c r="B35" s="387">
        <f t="shared" ref="B35:K35" si="0">B5+B11+B17+B23+B29</f>
        <v>16675</v>
      </c>
      <c r="C35" s="387">
        <f t="shared" si="0"/>
        <v>26914</v>
      </c>
      <c r="D35" s="387">
        <f t="shared" si="0"/>
        <v>26974</v>
      </c>
      <c r="E35" s="387">
        <f t="shared" si="0"/>
        <v>60922</v>
      </c>
      <c r="F35" s="387">
        <f t="shared" si="0"/>
        <v>130497</v>
      </c>
      <c r="G35" s="387">
        <f t="shared" si="0"/>
        <v>211566.25999999998</v>
      </c>
      <c r="H35" s="387">
        <f t="shared" si="0"/>
        <v>295121.28599999996</v>
      </c>
      <c r="I35" s="387">
        <f t="shared" si="0"/>
        <v>371459.25604800001</v>
      </c>
      <c r="J35" s="387">
        <f t="shared" si="0"/>
        <v>429310.52072855999</v>
      </c>
      <c r="K35" s="387">
        <f t="shared" si="0"/>
        <v>521670.89465200074</v>
      </c>
      <c r="T35" s="388"/>
    </row>
    <row r="36" spans="1:20" ht="15.6" customHeight="1" x14ac:dyDescent="0.3">
      <c r="A36" s="4" t="s">
        <v>369</v>
      </c>
      <c r="B36" s="4"/>
      <c r="C36" s="9">
        <f t="shared" ref="C36:K36" si="1">(C35/B35)-1</f>
        <v>0.61403298350824587</v>
      </c>
      <c r="D36" s="9">
        <f t="shared" si="1"/>
        <v>2.2293230289069932E-3</v>
      </c>
      <c r="E36" s="9">
        <f t="shared" si="1"/>
        <v>1.2585452658115224</v>
      </c>
      <c r="F36" s="9">
        <f t="shared" si="1"/>
        <v>1.1420340763599355</v>
      </c>
      <c r="G36" s="9">
        <f t="shared" si="1"/>
        <v>0.62123466439841524</v>
      </c>
      <c r="H36" s="9">
        <f t="shared" si="1"/>
        <v>0.39493549680369644</v>
      </c>
      <c r="I36" s="9">
        <f t="shared" si="1"/>
        <v>0.25866643196993944</v>
      </c>
      <c r="J36" s="9">
        <f t="shared" si="1"/>
        <v>0.1557405388037616</v>
      </c>
      <c r="K36" s="9">
        <f t="shared" si="1"/>
        <v>0.21513652581050402</v>
      </c>
      <c r="T36" s="9"/>
    </row>
    <row r="37" spans="1:20" x14ac:dyDescent="0.3">
      <c r="G37" s="33"/>
    </row>
    <row r="40" spans="1:20" x14ac:dyDescent="0.3">
      <c r="G40" s="132"/>
    </row>
    <row r="41" spans="1:20" ht="25.8" customHeight="1" x14ac:dyDescent="0.35">
      <c r="A41" s="389" t="s">
        <v>370</v>
      </c>
      <c r="B41" s="43"/>
      <c r="C41" s="113"/>
      <c r="D41" s="113"/>
      <c r="E41" s="113"/>
      <c r="F41" s="113"/>
    </row>
    <row r="42" spans="1:20" ht="18" customHeight="1" x14ac:dyDescent="0.35">
      <c r="A42" s="42"/>
      <c r="B42" s="6" t="s">
        <v>22</v>
      </c>
      <c r="C42" s="372" t="s">
        <v>23</v>
      </c>
      <c r="D42" s="6" t="s">
        <v>24</v>
      </c>
      <c r="E42" s="372" t="s">
        <v>25</v>
      </c>
      <c r="F42" s="6" t="s">
        <v>26</v>
      </c>
      <c r="H42" s="706" t="s">
        <v>371</v>
      </c>
      <c r="I42" s="700"/>
      <c r="J42" s="700"/>
      <c r="K42" s="700"/>
      <c r="L42" s="700"/>
      <c r="M42" s="700"/>
    </row>
    <row r="43" spans="1:20" ht="15.6" customHeight="1" x14ac:dyDescent="0.3">
      <c r="A43" s="5" t="s">
        <v>372</v>
      </c>
      <c r="B43" s="42"/>
      <c r="C43" s="83"/>
      <c r="D43" s="83"/>
      <c r="E43" s="83"/>
      <c r="F43" s="83"/>
      <c r="H43" s="42"/>
      <c r="I43" s="6" t="s">
        <v>22</v>
      </c>
      <c r="J43" s="372" t="s">
        <v>23</v>
      </c>
      <c r="K43" s="6" t="s">
        <v>24</v>
      </c>
      <c r="L43" s="372" t="s">
        <v>25</v>
      </c>
      <c r="M43" s="6" t="s">
        <v>26</v>
      </c>
    </row>
    <row r="44" spans="1:20" ht="15.6" customHeight="1" x14ac:dyDescent="0.3">
      <c r="A44" s="377" t="s">
        <v>354</v>
      </c>
      <c r="B44" s="384">
        <v>3.4500000000000003E-2</v>
      </c>
      <c r="C44" s="384">
        <v>3.2500000000000001E-2</v>
      </c>
      <c r="D44" s="384">
        <v>3.2500000000000001E-2</v>
      </c>
      <c r="E44" s="384">
        <v>3.1E-2</v>
      </c>
      <c r="F44" s="384">
        <v>3.1E-2</v>
      </c>
      <c r="H44" s="5" t="s">
        <v>365</v>
      </c>
      <c r="I44" s="42"/>
      <c r="J44" s="83"/>
      <c r="K44" s="83"/>
      <c r="L44" s="83"/>
      <c r="M44" s="83"/>
    </row>
    <row r="45" spans="1:20" ht="15.6" customHeight="1" x14ac:dyDescent="0.3">
      <c r="A45" s="4" t="s">
        <v>355</v>
      </c>
      <c r="B45" s="384">
        <f>B44-0.5%</f>
        <v>2.9500000000000002E-2</v>
      </c>
      <c r="C45" s="384">
        <f>C44-0.5%</f>
        <v>2.75E-2</v>
      </c>
      <c r="D45" s="384">
        <f>D44-0.5%</f>
        <v>2.75E-2</v>
      </c>
      <c r="E45" s="384">
        <f>E44-0.5%</f>
        <v>2.5999999999999999E-2</v>
      </c>
      <c r="F45" s="384">
        <f>F44-0.5%</f>
        <v>2.5999999999999999E-2</v>
      </c>
      <c r="H45" s="377" t="s">
        <v>354</v>
      </c>
      <c r="I45" s="384">
        <v>0.28000000000000003</v>
      </c>
      <c r="J45" s="384">
        <v>0.25</v>
      </c>
      <c r="K45" s="384">
        <v>0.23</v>
      </c>
      <c r="L45" s="384">
        <v>0.22</v>
      </c>
      <c r="M45" s="384">
        <v>0.21</v>
      </c>
    </row>
    <row r="46" spans="1:20" ht="15.6" customHeight="1" x14ac:dyDescent="0.3">
      <c r="A46" s="4" t="s">
        <v>356</v>
      </c>
      <c r="B46" s="323">
        <f>B44+0.5%</f>
        <v>3.95E-2</v>
      </c>
      <c r="C46" s="323">
        <f>C44+0.5%</f>
        <v>3.7499999999999999E-2</v>
      </c>
      <c r="D46" s="323">
        <f>D44+0.5%</f>
        <v>3.7499999999999999E-2</v>
      </c>
      <c r="E46" s="323">
        <f>E44+0.5%</f>
        <v>3.5999999999999997E-2</v>
      </c>
      <c r="F46" s="323">
        <f>F44+0.5%</f>
        <v>3.5999999999999997E-2</v>
      </c>
      <c r="H46" s="4" t="s">
        <v>355</v>
      </c>
      <c r="I46" s="384">
        <v>0.3</v>
      </c>
      <c r="J46" s="384">
        <v>0.28000000000000003</v>
      </c>
      <c r="K46" s="384">
        <v>0.27</v>
      </c>
      <c r="L46" s="384">
        <v>0.26</v>
      </c>
      <c r="M46" s="384">
        <v>0.25</v>
      </c>
    </row>
    <row r="47" spans="1:20" ht="15.6" customHeight="1" x14ac:dyDescent="0.3">
      <c r="H47" s="4" t="s">
        <v>356</v>
      </c>
      <c r="I47" s="323">
        <v>0.25</v>
      </c>
      <c r="J47" s="323">
        <v>0.22</v>
      </c>
      <c r="K47" s="323">
        <v>0.2</v>
      </c>
      <c r="L47" s="323">
        <v>0.19</v>
      </c>
      <c r="M47" s="323">
        <v>0.18</v>
      </c>
    </row>
    <row r="50" spans="1:25" ht="18" customHeight="1" x14ac:dyDescent="0.3">
      <c r="A50" s="390" t="s">
        <v>373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25" ht="18" customHeight="1" x14ac:dyDescent="0.3">
      <c r="A51" s="391"/>
      <c r="B51" s="392" t="s">
        <v>17</v>
      </c>
      <c r="C51" s="392" t="s">
        <v>18</v>
      </c>
      <c r="D51" s="392" t="s">
        <v>19</v>
      </c>
      <c r="E51" s="392" t="s">
        <v>20</v>
      </c>
      <c r="F51" s="392" t="s">
        <v>21</v>
      </c>
      <c r="G51" s="392" t="s">
        <v>22</v>
      </c>
      <c r="H51" s="392" t="s">
        <v>23</v>
      </c>
      <c r="I51" s="392" t="s">
        <v>24</v>
      </c>
      <c r="J51" s="392" t="s">
        <v>25</v>
      </c>
      <c r="K51" s="392" t="s">
        <v>26</v>
      </c>
    </row>
    <row r="52" spans="1:25" ht="15.6" customHeight="1" x14ac:dyDescent="0.3">
      <c r="A52" s="393" t="s">
        <v>151</v>
      </c>
      <c r="B52" s="47">
        <f t="shared" ref="B52:K52" si="2">C81</f>
        <v>16675</v>
      </c>
      <c r="C52" s="47">
        <f t="shared" si="2"/>
        <v>26914</v>
      </c>
      <c r="D52" s="47">
        <f t="shared" si="2"/>
        <v>26974</v>
      </c>
      <c r="E52" s="47">
        <f t="shared" si="2"/>
        <v>60922</v>
      </c>
      <c r="F52" s="47">
        <f t="shared" si="2"/>
        <v>130497</v>
      </c>
      <c r="G52" s="47">
        <f t="shared" si="2"/>
        <v>211566.25999999998</v>
      </c>
      <c r="H52" s="47">
        <f t="shared" si="2"/>
        <v>295121.28599999996</v>
      </c>
      <c r="I52" s="47">
        <f t="shared" si="2"/>
        <v>371459.25604800001</v>
      </c>
      <c r="J52" s="47">
        <f t="shared" si="2"/>
        <v>429310.52072855999</v>
      </c>
      <c r="K52" s="47">
        <f t="shared" si="2"/>
        <v>521670.89465200074</v>
      </c>
    </row>
    <row r="53" spans="1:25" ht="15.6" customHeight="1" x14ac:dyDescent="0.3">
      <c r="A53" s="4" t="s">
        <v>201</v>
      </c>
      <c r="B53" s="105">
        <f>'02_Historical_BS'!B6</f>
        <v>11561</v>
      </c>
      <c r="C53" s="105">
        <f>'02_Historical_BS'!C6</f>
        <v>21208</v>
      </c>
      <c r="D53" s="105">
        <f>'02_Historical_BS'!D6</f>
        <v>13296</v>
      </c>
      <c r="E53" s="105">
        <f>'02_Historical_BS'!E6</f>
        <v>25984</v>
      </c>
      <c r="F53" s="105">
        <f>'02_Historical_BS'!F6</f>
        <v>43210</v>
      </c>
      <c r="G53" s="105">
        <f>G52*G55</f>
        <v>59238.552799999998</v>
      </c>
      <c r="H53" s="105">
        <f>H52*H55</f>
        <v>73780.321499999991</v>
      </c>
      <c r="I53" s="105">
        <f>I52*I55</f>
        <v>85435.628891040004</v>
      </c>
      <c r="J53" s="105">
        <f>J52*J55</f>
        <v>94448.314560283194</v>
      </c>
      <c r="K53" s="105">
        <f>K52*K55</f>
        <v>109550.88787692015</v>
      </c>
    </row>
    <row r="54" spans="1:25" ht="15.6" customHeight="1" x14ac:dyDescent="0.3">
      <c r="A54" s="4" t="s">
        <v>374</v>
      </c>
      <c r="B54" s="105">
        <v>0</v>
      </c>
      <c r="C54" s="105">
        <f t="shared" ref="C54:J54" si="3">AVERAGE(C53,D53)</f>
        <v>17252</v>
      </c>
      <c r="D54" s="105">
        <f t="shared" si="3"/>
        <v>19640</v>
      </c>
      <c r="E54" s="105">
        <f t="shared" si="3"/>
        <v>34597</v>
      </c>
      <c r="F54" s="105">
        <f t="shared" si="3"/>
        <v>51224.276400000002</v>
      </c>
      <c r="G54" s="105">
        <f t="shared" si="3"/>
        <v>66509.437149999998</v>
      </c>
      <c r="H54" s="105">
        <f t="shared" si="3"/>
        <v>79607.975195520004</v>
      </c>
      <c r="I54" s="105">
        <f t="shared" si="3"/>
        <v>89941.971725661599</v>
      </c>
      <c r="J54" s="105">
        <f t="shared" si="3"/>
        <v>101999.60121860167</v>
      </c>
      <c r="K54" s="105">
        <f>AVERAGE(K53,Y44)</f>
        <v>109550.88787692015</v>
      </c>
    </row>
    <row r="55" spans="1:25" ht="15.6" customHeight="1" x14ac:dyDescent="0.3">
      <c r="A55" s="5" t="s">
        <v>371</v>
      </c>
      <c r="B55" s="9">
        <f>B53/B52</f>
        <v>0.69331334332833583</v>
      </c>
      <c r="C55" s="9">
        <f>C53/C52</f>
        <v>0.78799137995095492</v>
      </c>
      <c r="D55" s="9">
        <f>D53/D52</f>
        <v>0.49291910728850002</v>
      </c>
      <c r="E55" s="9">
        <f>E53/E52</f>
        <v>0.42651258986901286</v>
      </c>
      <c r="F55" s="9">
        <f>F53/F52</f>
        <v>0.33111872303577861</v>
      </c>
      <c r="G55" s="9">
        <f>I45</f>
        <v>0.28000000000000003</v>
      </c>
      <c r="H55" s="394">
        <f>J45</f>
        <v>0.25</v>
      </c>
      <c r="I55" s="9">
        <f>K45</f>
        <v>0.23</v>
      </c>
      <c r="J55" s="9">
        <f>L45</f>
        <v>0.22</v>
      </c>
      <c r="K55" s="9">
        <f>M45</f>
        <v>0.21</v>
      </c>
    </row>
    <row r="56" spans="1:25" ht="15.6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25" ht="15.6" customHeight="1" x14ac:dyDescent="0.3">
      <c r="A57" s="4" t="s">
        <v>375</v>
      </c>
      <c r="B57" s="323">
        <f>B58/B53</f>
        <v>4.9303693452123522E-3</v>
      </c>
      <c r="C57" s="323">
        <f>C58/C53</f>
        <v>1.3674085250848737E-3</v>
      </c>
      <c r="D57" s="323">
        <f>D58/D53</f>
        <v>2.0081227436823106E-2</v>
      </c>
      <c r="E57" s="323">
        <f>E58/E53</f>
        <v>3.3328201970443352E-2</v>
      </c>
      <c r="F57" s="323">
        <f>F58/F53</f>
        <v>4.1333024762786393E-2</v>
      </c>
      <c r="G57" s="354">
        <f>B44</f>
        <v>3.4500000000000003E-2</v>
      </c>
      <c r="H57" s="354">
        <f>C44</f>
        <v>3.2500000000000001E-2</v>
      </c>
      <c r="I57" s="354">
        <f>D44</f>
        <v>3.2500000000000001E-2</v>
      </c>
      <c r="J57" s="354">
        <f>E44</f>
        <v>3.1E-2</v>
      </c>
      <c r="K57" s="354">
        <f>F44</f>
        <v>3.1E-2</v>
      </c>
    </row>
    <row r="58" spans="1:25" ht="15.6" customHeight="1" x14ac:dyDescent="0.3">
      <c r="A58" s="349" t="s">
        <v>163</v>
      </c>
      <c r="B58" s="190">
        <f>C91</f>
        <v>57</v>
      </c>
      <c r="C58" s="190">
        <f>D91</f>
        <v>29</v>
      </c>
      <c r="D58" s="190">
        <f>E91</f>
        <v>267</v>
      </c>
      <c r="E58" s="190">
        <f>F91</f>
        <v>866</v>
      </c>
      <c r="F58" s="190">
        <f>G91</f>
        <v>1786</v>
      </c>
      <c r="G58" s="395">
        <f>(G52*G55)*G57</f>
        <v>2043.7300716000002</v>
      </c>
      <c r="H58" s="395">
        <f>(H52*H55)*H57</f>
        <v>2397.8604487499997</v>
      </c>
      <c r="I58" s="395">
        <f>(I52*I55)*I57</f>
        <v>2776.6579389588001</v>
      </c>
      <c r="J58" s="395">
        <f>(J52*J55)*J57</f>
        <v>2927.8977513687792</v>
      </c>
      <c r="K58" s="395">
        <f>(K52*K55)*K57</f>
        <v>3396.0775241845249</v>
      </c>
    </row>
    <row r="60" spans="1:25" ht="18" customHeight="1" x14ac:dyDescent="0.35">
      <c r="A60" s="284" t="s">
        <v>376</v>
      </c>
      <c r="B60" s="30"/>
      <c r="C60" s="259"/>
      <c r="D60" s="259"/>
      <c r="E60" s="259"/>
      <c r="F60" s="259"/>
    </row>
    <row r="61" spans="1:25" ht="15.6" customHeight="1" x14ac:dyDescent="0.3">
      <c r="A61" s="42"/>
      <c r="B61" s="6" t="s">
        <v>22</v>
      </c>
      <c r="C61" s="372" t="s">
        <v>23</v>
      </c>
      <c r="D61" s="6" t="s">
        <v>24</v>
      </c>
      <c r="E61" s="372" t="s">
        <v>25</v>
      </c>
      <c r="F61" s="6" t="s">
        <v>26</v>
      </c>
      <c r="H61" s="33"/>
      <c r="I61" s="33"/>
      <c r="J61" s="33"/>
      <c r="K61" s="33"/>
      <c r="L61" s="33"/>
      <c r="Y61" s="181">
        <f>Y56+Y60</f>
        <v>0</v>
      </c>
    </row>
    <row r="62" spans="1:25" ht="15.6" customHeight="1" x14ac:dyDescent="0.3">
      <c r="A62" s="5" t="s">
        <v>377</v>
      </c>
      <c r="B62" s="42"/>
      <c r="C62" s="83"/>
      <c r="D62" s="83"/>
      <c r="E62" s="83"/>
      <c r="F62" s="83"/>
      <c r="G62" s="179"/>
    </row>
    <row r="63" spans="1:25" ht="15.6" customHeight="1" x14ac:dyDescent="0.3">
      <c r="A63" s="377" t="s">
        <v>354</v>
      </c>
      <c r="B63" s="396">
        <f>15%</f>
        <v>0.15</v>
      </c>
      <c r="C63" s="396">
        <v>0.14499999999999999</v>
      </c>
      <c r="D63" s="396">
        <v>0.14499999999999999</v>
      </c>
      <c r="E63" s="396">
        <v>0.14000000000000001</v>
      </c>
      <c r="F63" s="396">
        <v>0.14000000000000001</v>
      </c>
    </row>
    <row r="64" spans="1:25" ht="15.6" customHeight="1" x14ac:dyDescent="0.3">
      <c r="A64" s="4" t="s">
        <v>355</v>
      </c>
      <c r="B64" s="396">
        <v>0.13</v>
      </c>
      <c r="C64" s="396">
        <v>0.125</v>
      </c>
      <c r="D64" s="396">
        <v>0.125</v>
      </c>
      <c r="E64" s="396">
        <v>0.12</v>
      </c>
      <c r="F64" s="396">
        <v>0.12</v>
      </c>
      <c r="N64" s="4"/>
      <c r="O64" s="122"/>
      <c r="P64" s="122"/>
      <c r="Q64" s="122"/>
      <c r="R64" s="122"/>
      <c r="S64" s="122"/>
      <c r="T64" s="122"/>
      <c r="U64" s="397"/>
      <c r="V64" s="122"/>
      <c r="W64" s="122"/>
      <c r="X64" s="122"/>
    </row>
    <row r="65" spans="1:24" ht="15.6" customHeight="1" x14ac:dyDescent="0.3">
      <c r="A65" s="4" t="s">
        <v>356</v>
      </c>
      <c r="B65" s="322">
        <v>0.16</v>
      </c>
      <c r="C65" s="322">
        <v>0.17</v>
      </c>
      <c r="D65" s="322">
        <v>0.17</v>
      </c>
      <c r="E65" s="322">
        <v>0.17499999999999999</v>
      </c>
      <c r="F65" s="322">
        <v>0.18</v>
      </c>
    </row>
    <row r="66" spans="1:24" x14ac:dyDescent="0.3">
      <c r="O66" s="179"/>
      <c r="P66" s="179"/>
      <c r="Q66" s="179"/>
      <c r="R66" s="179"/>
      <c r="S66" s="179"/>
      <c r="T66" s="212"/>
      <c r="U66" s="212"/>
      <c r="V66" s="212"/>
      <c r="W66" s="212"/>
      <c r="X66" s="212"/>
    </row>
    <row r="67" spans="1:24" x14ac:dyDescent="0.3">
      <c r="N67" s="1"/>
      <c r="O67" s="344"/>
      <c r="P67" s="344"/>
      <c r="Q67" s="344"/>
      <c r="R67" s="344"/>
      <c r="S67" s="344"/>
      <c r="T67" s="398"/>
      <c r="U67" s="398"/>
      <c r="V67" s="398"/>
      <c r="W67" s="398"/>
      <c r="X67" s="398"/>
    </row>
    <row r="68" spans="1:24" ht="18" customHeight="1" x14ac:dyDescent="0.3">
      <c r="A68" s="390" t="s">
        <v>378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spans="1:24" ht="18" customHeight="1" x14ac:dyDescent="0.3">
      <c r="A69" s="391"/>
      <c r="B69" s="392" t="s">
        <v>17</v>
      </c>
      <c r="C69" s="392" t="s">
        <v>18</v>
      </c>
      <c r="D69" s="392" t="s">
        <v>19</v>
      </c>
      <c r="E69" s="392" t="s">
        <v>20</v>
      </c>
      <c r="F69" s="392" t="s">
        <v>21</v>
      </c>
      <c r="G69" s="392" t="s">
        <v>22</v>
      </c>
      <c r="H69" s="392" t="s">
        <v>23</v>
      </c>
      <c r="I69" s="392" t="s">
        <v>24</v>
      </c>
      <c r="J69" s="392" t="s">
        <v>25</v>
      </c>
      <c r="K69" s="392" t="s">
        <v>26</v>
      </c>
    </row>
    <row r="70" spans="1:24" ht="15.6" customHeight="1" x14ac:dyDescent="0.3">
      <c r="A70" s="178" t="s">
        <v>379</v>
      </c>
      <c r="B70" s="182">
        <f t="shared" ref="B70:K70" si="4">C95</f>
        <v>4409</v>
      </c>
      <c r="C70" s="182">
        <f t="shared" si="4"/>
        <v>9941</v>
      </c>
      <c r="D70" s="182">
        <f t="shared" si="4"/>
        <v>4181</v>
      </c>
      <c r="E70" s="182">
        <f t="shared" si="4"/>
        <v>33818</v>
      </c>
      <c r="F70" s="182">
        <f t="shared" si="4"/>
        <v>84026</v>
      </c>
      <c r="G70" s="183">
        <f t="shared" si="4"/>
        <v>140974.3105603001</v>
      </c>
      <c r="H70" s="183">
        <f t="shared" si="4"/>
        <v>201734.10323946518</v>
      </c>
      <c r="I70" s="183">
        <f t="shared" si="4"/>
        <v>262529.63038078125</v>
      </c>
      <c r="J70" s="183">
        <f t="shared" si="4"/>
        <v>312881.05475750362</v>
      </c>
      <c r="K70" s="183">
        <f t="shared" si="4"/>
        <v>391778.52219285409</v>
      </c>
    </row>
    <row r="71" spans="1:24" x14ac:dyDescent="0.3">
      <c r="A71" t="s">
        <v>380</v>
      </c>
      <c r="B71" s="179">
        <f>C96/C95</f>
        <v>1.7464277613971423E-2</v>
      </c>
      <c r="C71" s="179">
        <f>D96/D95</f>
        <v>1.9012171813700834E-2</v>
      </c>
      <c r="D71" s="179">
        <f>E96/E95</f>
        <v>-4.4726142071274816E-2</v>
      </c>
      <c r="E71" s="179">
        <f>F96/F95</f>
        <v>0.1199952687917677</v>
      </c>
      <c r="F71" s="179">
        <f>G96/G95</f>
        <v>0.13264941803727417</v>
      </c>
      <c r="G71" s="399">
        <f>B63</f>
        <v>0.15</v>
      </c>
      <c r="H71" s="399">
        <f>C63</f>
        <v>0.14499999999999999</v>
      </c>
      <c r="I71" s="399">
        <f>D63</f>
        <v>0.14499999999999999</v>
      </c>
      <c r="J71" s="399">
        <f>E63</f>
        <v>0.14000000000000001</v>
      </c>
      <c r="K71" s="399">
        <f>F63</f>
        <v>0.14000000000000001</v>
      </c>
    </row>
    <row r="72" spans="1:24" ht="15.6" customHeight="1" x14ac:dyDescent="0.3">
      <c r="A72" s="349" t="str">
        <f>A96</f>
        <v>Income tax expense (benefit)</v>
      </c>
      <c r="B72" s="226">
        <f t="shared" ref="B72:K72" si="5">B70*B71</f>
        <v>77</v>
      </c>
      <c r="C72" s="226">
        <f t="shared" si="5"/>
        <v>189</v>
      </c>
      <c r="D72" s="226">
        <f t="shared" si="5"/>
        <v>-187</v>
      </c>
      <c r="E72" s="226">
        <f t="shared" si="5"/>
        <v>4058</v>
      </c>
      <c r="F72" s="226">
        <f t="shared" si="5"/>
        <v>11146</v>
      </c>
      <c r="G72" s="226">
        <f t="shared" si="5"/>
        <v>21146.146584045015</v>
      </c>
      <c r="H72" s="226">
        <f t="shared" si="5"/>
        <v>29251.444969722448</v>
      </c>
      <c r="I72" s="226">
        <f t="shared" si="5"/>
        <v>38066.796405213281</v>
      </c>
      <c r="J72" s="226">
        <f t="shared" si="5"/>
        <v>43803.347666050511</v>
      </c>
      <c r="K72" s="226">
        <f t="shared" si="5"/>
        <v>54848.99310699958</v>
      </c>
    </row>
    <row r="77" spans="1:24" x14ac:dyDescent="0.3">
      <c r="D77" s="400"/>
    </row>
    <row r="79" spans="1:24" s="90" customFormat="1" ht="22.2" customHeight="1" x14ac:dyDescent="0.3">
      <c r="A79" s="285" t="s">
        <v>149</v>
      </c>
      <c r="B79" s="709" t="s">
        <v>15</v>
      </c>
      <c r="C79" s="710"/>
      <c r="D79" s="710"/>
      <c r="E79" s="710"/>
      <c r="F79" s="710"/>
      <c r="G79" s="710"/>
      <c r="H79" s="709" t="s">
        <v>5</v>
      </c>
      <c r="I79" s="710"/>
      <c r="J79" s="710"/>
      <c r="K79" s="710"/>
      <c r="L79" s="710"/>
    </row>
    <row r="80" spans="1:24" ht="15.6" customHeight="1" x14ac:dyDescent="0.3">
      <c r="A80" s="401"/>
      <c r="B80" s="278" t="s">
        <v>16</v>
      </c>
      <c r="C80" s="278" t="s">
        <v>17</v>
      </c>
      <c r="D80" s="278" t="s">
        <v>18</v>
      </c>
      <c r="E80" s="278" t="s">
        <v>19</v>
      </c>
      <c r="F80" s="278" t="s">
        <v>20</v>
      </c>
      <c r="G80" s="278" t="s">
        <v>21</v>
      </c>
      <c r="H80" s="278" t="s">
        <v>22</v>
      </c>
      <c r="I80" s="278" t="s">
        <v>23</v>
      </c>
      <c r="J80" s="278" t="s">
        <v>24</v>
      </c>
      <c r="K80" s="278" t="s">
        <v>25</v>
      </c>
      <c r="L80" s="278" t="s">
        <v>26</v>
      </c>
    </row>
    <row r="81" spans="1:12" ht="15.6" customHeight="1" x14ac:dyDescent="0.3">
      <c r="A81" s="41" t="s">
        <v>151</v>
      </c>
      <c r="B81" s="402">
        <v>10918</v>
      </c>
      <c r="C81" s="402">
        <v>16675</v>
      </c>
      <c r="D81" s="206">
        <v>26914</v>
      </c>
      <c r="E81" s="402">
        <v>26974</v>
      </c>
      <c r="F81" s="403">
        <v>60922</v>
      </c>
      <c r="G81" s="402">
        <v>130497</v>
      </c>
      <c r="H81" s="341">
        <f>G35</f>
        <v>211566.25999999998</v>
      </c>
      <c r="I81" s="341">
        <f>H35</f>
        <v>295121.28599999996</v>
      </c>
      <c r="J81" s="341">
        <f>I35</f>
        <v>371459.25604800001</v>
      </c>
      <c r="K81" s="341">
        <f>J35</f>
        <v>429310.52072855999</v>
      </c>
      <c r="L81" s="341">
        <f>K35</f>
        <v>521670.89465200074</v>
      </c>
    </row>
    <row r="82" spans="1:12" ht="15.6" customHeight="1" x14ac:dyDescent="0.3">
      <c r="A82" s="42" t="s">
        <v>152</v>
      </c>
      <c r="B82" s="404">
        <v>4150</v>
      </c>
      <c r="C82" s="404">
        <v>6279</v>
      </c>
      <c r="D82" s="206">
        <v>9439</v>
      </c>
      <c r="E82" s="404">
        <v>11618</v>
      </c>
      <c r="F82" s="404">
        <v>16621</v>
      </c>
      <c r="G82" s="404">
        <v>32639</v>
      </c>
      <c r="H82" s="405">
        <f>(1-U6)*H81</f>
        <v>48684.153011299873</v>
      </c>
      <c r="I82" s="405">
        <f>(1-V6)*I81</f>
        <v>62008.827447284755</v>
      </c>
      <c r="J82" s="405">
        <f>(1-W6)*J81</f>
        <v>70619.244472753548</v>
      </c>
      <c r="K82" s="405">
        <f>(1-X6)*K81</f>
        <v>73031.313242283548</v>
      </c>
      <c r="L82" s="405">
        <f>(1-Y6)*L81</f>
        <v>78309.598355567054</v>
      </c>
    </row>
    <row r="83" spans="1:12" ht="15.6" customHeight="1" x14ac:dyDescent="0.3">
      <c r="A83" s="406" t="s">
        <v>153</v>
      </c>
      <c r="B83" s="404">
        <f>B81-B82</f>
        <v>6768</v>
      </c>
      <c r="C83" s="404">
        <f>C81-C82</f>
        <v>10396</v>
      </c>
      <c r="D83" s="404">
        <f>D81-D82</f>
        <v>17475</v>
      </c>
      <c r="E83" s="402">
        <v>15356</v>
      </c>
      <c r="F83" s="402">
        <v>44301</v>
      </c>
      <c r="G83" s="403">
        <v>97858</v>
      </c>
      <c r="H83" s="405">
        <f>H81-H82</f>
        <v>162882.10698870011</v>
      </c>
      <c r="I83" s="405">
        <f>I81-I82</f>
        <v>233112.45855271519</v>
      </c>
      <c r="J83" s="405">
        <f>J81-J82</f>
        <v>300840.01157524646</v>
      </c>
      <c r="K83" s="405">
        <f>K81-K82</f>
        <v>356279.20748627646</v>
      </c>
      <c r="L83" s="405">
        <f>L81-L82</f>
        <v>443361.29629643366</v>
      </c>
    </row>
    <row r="84" spans="1:12" ht="15.6" customHeight="1" x14ac:dyDescent="0.3">
      <c r="A84" s="143"/>
      <c r="B84" s="407">
        <v>0</v>
      </c>
      <c r="C84" s="407">
        <f t="shared" ref="C84:L84" si="6">(C83/B83)-1</f>
        <v>0.53605200945626486</v>
      </c>
      <c r="D84" s="407">
        <f t="shared" si="6"/>
        <v>0.68093497499038103</v>
      </c>
      <c r="E84" s="407">
        <f t="shared" si="6"/>
        <v>-0.12125894134477821</v>
      </c>
      <c r="F84" s="407">
        <f t="shared" si="6"/>
        <v>1.8849309716071896</v>
      </c>
      <c r="G84" s="407">
        <f t="shared" si="6"/>
        <v>1.208934335568046</v>
      </c>
      <c r="H84" s="407">
        <f t="shared" si="6"/>
        <v>0.66447410522083117</v>
      </c>
      <c r="I84" s="407">
        <f t="shared" si="6"/>
        <v>0.43117290697183397</v>
      </c>
      <c r="J84" s="407">
        <f t="shared" si="6"/>
        <v>0.29053596467138454</v>
      </c>
      <c r="K84" s="407">
        <f t="shared" si="6"/>
        <v>0.18428132488342053</v>
      </c>
      <c r="L84" s="407">
        <f t="shared" si="6"/>
        <v>0.24442091197115823</v>
      </c>
    </row>
    <row r="85" spans="1:12" ht="15.6" customHeight="1" x14ac:dyDescent="0.3">
      <c r="A85" s="316" t="s">
        <v>155</v>
      </c>
      <c r="B85" s="408"/>
      <c r="C85" s="409"/>
      <c r="D85" s="408"/>
      <c r="E85" s="410"/>
      <c r="F85" s="410"/>
      <c r="G85" s="410"/>
      <c r="H85" s="411"/>
      <c r="I85" s="411"/>
      <c r="J85" s="411"/>
      <c r="K85" s="411"/>
      <c r="L85" s="411"/>
    </row>
    <row r="86" spans="1:12" ht="15.6" customHeight="1" x14ac:dyDescent="0.3">
      <c r="A86" s="41" t="s">
        <v>156</v>
      </c>
      <c r="B86" s="206">
        <f>'10_GrowthRates'!I46</f>
        <v>0</v>
      </c>
      <c r="C86" s="206">
        <f>'10_GrowthRates'!J46</f>
        <v>0</v>
      </c>
      <c r="D86" s="206">
        <f>'10_GrowthRates'!K46</f>
        <v>0</v>
      </c>
      <c r="E86" s="402">
        <v>7339</v>
      </c>
      <c r="F86" s="402">
        <v>8675</v>
      </c>
      <c r="G86" s="402">
        <v>12914</v>
      </c>
      <c r="H86" s="210">
        <f>U11*H81</f>
        <v>20098.794699999999</v>
      </c>
      <c r="I86" s="210">
        <f>V11*I81</f>
        <v>27446.279597999997</v>
      </c>
      <c r="J86" s="210">
        <f>W11*J81</f>
        <v>33431.333044320003</v>
      </c>
      <c r="K86" s="210">
        <f>X11*K81</f>
        <v>37779.325824113279</v>
      </c>
      <c r="L86" s="210">
        <f>Y11*L81</f>
        <v>44342.026045420069</v>
      </c>
    </row>
    <row r="87" spans="1:12" ht="15.6" customHeight="1" x14ac:dyDescent="0.3">
      <c r="A87" s="42" t="s">
        <v>157</v>
      </c>
      <c r="B87" s="206">
        <v>1093</v>
      </c>
      <c r="C87" s="404">
        <v>1940</v>
      </c>
      <c r="D87" s="206">
        <v>2166</v>
      </c>
      <c r="E87" s="404">
        <v>2440</v>
      </c>
      <c r="F87" s="404">
        <v>2654</v>
      </c>
      <c r="G87" s="404">
        <v>3491</v>
      </c>
      <c r="H87" s="210">
        <f>U16*H81</f>
        <v>5289.1565000000001</v>
      </c>
      <c r="I87" s="210">
        <f>V16*I81</f>
        <v>7082.9108639999995</v>
      </c>
      <c r="J87" s="210">
        <f>W16*J81</f>
        <v>8543.5628891039996</v>
      </c>
      <c r="K87" s="210">
        <f>X16*K81</f>
        <v>9444.8314560283197</v>
      </c>
      <c r="L87" s="210">
        <f>Y16*L81</f>
        <v>11476.759682344016</v>
      </c>
    </row>
    <row r="88" spans="1:12" ht="15.6" customHeight="1" x14ac:dyDescent="0.3">
      <c r="A88" s="41" t="s">
        <v>158</v>
      </c>
      <c r="B88" s="206">
        <v>0</v>
      </c>
      <c r="C88" s="206">
        <v>0</v>
      </c>
      <c r="D88" s="206">
        <v>0</v>
      </c>
      <c r="E88" s="402">
        <v>1353</v>
      </c>
      <c r="F88" s="402">
        <v>0</v>
      </c>
      <c r="G88" s="402">
        <v>0</v>
      </c>
      <c r="H88" s="210">
        <v>0</v>
      </c>
      <c r="I88" s="210">
        <v>0</v>
      </c>
      <c r="J88" s="210">
        <v>0</v>
      </c>
      <c r="K88" s="210">
        <v>0</v>
      </c>
      <c r="L88" s="210">
        <v>0</v>
      </c>
    </row>
    <row r="89" spans="1:12" ht="15.6" customHeight="1" x14ac:dyDescent="0.3">
      <c r="A89" s="178" t="s">
        <v>381</v>
      </c>
      <c r="B89" s="412">
        <v>3922</v>
      </c>
      <c r="C89" s="412">
        <v>5864</v>
      </c>
      <c r="D89" s="412">
        <v>7434</v>
      </c>
      <c r="E89" s="412">
        <v>11132</v>
      </c>
      <c r="F89" s="412">
        <v>11329</v>
      </c>
      <c r="G89" s="412">
        <v>16405</v>
      </c>
      <c r="H89" s="413">
        <f>SUM(H86:H88)</f>
        <v>25387.9512</v>
      </c>
      <c r="I89" s="413">
        <f>SUM(I86:I88)</f>
        <v>34529.190461999999</v>
      </c>
      <c r="J89" s="413">
        <f>SUM(J86:J88)</f>
        <v>41974.895933424006</v>
      </c>
      <c r="K89" s="413">
        <f>SUM(K86:K88)</f>
        <v>47224.157280141597</v>
      </c>
      <c r="L89" s="413">
        <f>SUM(L86:L88)</f>
        <v>55818.785727764087</v>
      </c>
    </row>
    <row r="90" spans="1:12" ht="15.6" customHeight="1" x14ac:dyDescent="0.3">
      <c r="A90" s="414" t="s">
        <v>382</v>
      </c>
      <c r="B90" s="412">
        <f>B83-B89</f>
        <v>2846</v>
      </c>
      <c r="C90" s="412">
        <f>C83-C89</f>
        <v>4532</v>
      </c>
      <c r="D90" s="412">
        <f>D83-D89</f>
        <v>10041</v>
      </c>
      <c r="E90" s="415">
        <v>4224</v>
      </c>
      <c r="F90" s="415">
        <v>32972</v>
      </c>
      <c r="G90" s="415">
        <v>81453</v>
      </c>
      <c r="H90" s="416">
        <f>H83-H89</f>
        <v>137494.1557887001</v>
      </c>
      <c r="I90" s="416">
        <f>I83-I89</f>
        <v>198583.2680907152</v>
      </c>
      <c r="J90" s="416">
        <f>J83-J89</f>
        <v>258865.11564182246</v>
      </c>
      <c r="K90" s="416">
        <f>K83-K89</f>
        <v>309055.05020613485</v>
      </c>
      <c r="L90" s="416">
        <f>L83-L89</f>
        <v>387542.51056866959</v>
      </c>
    </row>
    <row r="91" spans="1:12" ht="15.6" customHeight="1" x14ac:dyDescent="0.3">
      <c r="A91" s="417" t="s">
        <v>163</v>
      </c>
      <c r="B91" s="404">
        <v>178</v>
      </c>
      <c r="C91" s="404">
        <v>57</v>
      </c>
      <c r="D91" s="404">
        <v>29</v>
      </c>
      <c r="E91" s="404">
        <v>267</v>
      </c>
      <c r="F91" s="404">
        <v>866</v>
      </c>
      <c r="G91" s="404">
        <v>1786</v>
      </c>
      <c r="H91" s="210">
        <f>G58</f>
        <v>2043.7300716000002</v>
      </c>
      <c r="I91" s="210">
        <f>H58</f>
        <v>2397.8604487499997</v>
      </c>
      <c r="J91" s="210">
        <f>I58</f>
        <v>2776.6579389588001</v>
      </c>
      <c r="K91" s="210">
        <f>J58</f>
        <v>2927.8977513687792</v>
      </c>
      <c r="L91" s="210">
        <f>K58</f>
        <v>3396.0775241845249</v>
      </c>
    </row>
    <row r="92" spans="1:12" ht="15.6" customHeight="1" x14ac:dyDescent="0.3">
      <c r="A92" s="406" t="s">
        <v>164</v>
      </c>
      <c r="B92" s="404">
        <v>-52</v>
      </c>
      <c r="C92" s="402">
        <v>-184</v>
      </c>
      <c r="D92" s="404">
        <v>-236</v>
      </c>
      <c r="E92" s="402">
        <v>-262</v>
      </c>
      <c r="F92" s="402">
        <v>-257</v>
      </c>
      <c r="G92" s="402">
        <v>-247</v>
      </c>
      <c r="H92" s="210">
        <f>'13_DebtSchedule'!I11</f>
        <v>-263.57529999999997</v>
      </c>
      <c r="I92" s="210">
        <f>'13_DebtSchedule'!J11</f>
        <v>-247.02529999999999</v>
      </c>
      <c r="J92" s="210">
        <f>'13_DebtSchedule'!K11</f>
        <v>-112.14320000000001</v>
      </c>
      <c r="K92" s="210">
        <f>'13_DebtSchedule'!L11</f>
        <v>-101.89320000000001</v>
      </c>
      <c r="L92" s="210">
        <f>'13_DebtSchedule'!M11</f>
        <v>-160.0659</v>
      </c>
    </row>
    <row r="93" spans="1:12" ht="15.6" customHeight="1" x14ac:dyDescent="0.3">
      <c r="A93" s="417" t="s">
        <v>165</v>
      </c>
      <c r="B93" s="404">
        <v>-2</v>
      </c>
      <c r="C93" s="404">
        <v>4</v>
      </c>
      <c r="D93" s="404">
        <v>107</v>
      </c>
      <c r="E93" s="404">
        <v>-48</v>
      </c>
      <c r="F93" s="404">
        <v>237</v>
      </c>
      <c r="G93" s="404">
        <v>1034</v>
      </c>
      <c r="H93" s="210">
        <f>'00_Assumptions'!$C$39</f>
        <v>1700</v>
      </c>
      <c r="I93" s="210">
        <f>'00_Assumptions'!$D$39</f>
        <v>1000</v>
      </c>
      <c r="J93" s="210">
        <f>'00_Assumptions'!$E$39</f>
        <v>1000</v>
      </c>
      <c r="K93" s="210">
        <f>'00_Assumptions'!$F$39</f>
        <v>1000</v>
      </c>
      <c r="L93" s="210">
        <f>'00_Assumptions'!$G$39</f>
        <v>1000</v>
      </c>
    </row>
    <row r="94" spans="1:12" ht="15.6" customHeight="1" x14ac:dyDescent="0.3">
      <c r="A94" s="406" t="s">
        <v>166</v>
      </c>
      <c r="B94" s="404">
        <f>SUM(B91:B93)</f>
        <v>124</v>
      </c>
      <c r="C94" s="404">
        <f>SUM(C91:C93)</f>
        <v>-123</v>
      </c>
      <c r="D94" s="404">
        <f>SUM(D91:D93)</f>
        <v>-100</v>
      </c>
      <c r="E94" s="402">
        <v>-43</v>
      </c>
      <c r="F94" s="402">
        <v>846</v>
      </c>
      <c r="G94" s="402">
        <v>2573</v>
      </c>
      <c r="H94" s="210">
        <f>SUM(H91:H93)</f>
        <v>3480.1547716000005</v>
      </c>
      <c r="I94" s="210">
        <f>SUM(I91:I93)</f>
        <v>3150.8351487499999</v>
      </c>
      <c r="J94" s="210">
        <f>SUM(J91:J93)</f>
        <v>3664.5147389588001</v>
      </c>
      <c r="K94" s="210">
        <f>SUM(K91:K93)</f>
        <v>3826.0045513687792</v>
      </c>
      <c r="L94" s="210">
        <f>SUM(L91:L93)</f>
        <v>4236.0116241845244</v>
      </c>
    </row>
    <row r="95" spans="1:12" ht="15.6" customHeight="1" x14ac:dyDescent="0.3">
      <c r="A95" s="178" t="s">
        <v>383</v>
      </c>
      <c r="B95" s="412">
        <v>2970</v>
      </c>
      <c r="C95" s="412">
        <v>4409</v>
      </c>
      <c r="D95" s="412">
        <v>9941</v>
      </c>
      <c r="E95" s="412">
        <v>4181</v>
      </c>
      <c r="F95" s="412">
        <v>33818</v>
      </c>
      <c r="G95" s="412">
        <v>84026</v>
      </c>
      <c r="H95" s="416">
        <f>H90+H94</f>
        <v>140974.3105603001</v>
      </c>
      <c r="I95" s="416">
        <f>I90+I94</f>
        <v>201734.10323946518</v>
      </c>
      <c r="J95" s="416">
        <f>J90+J94</f>
        <v>262529.63038078125</v>
      </c>
      <c r="K95" s="416">
        <f>K90+K94</f>
        <v>312881.05475750362</v>
      </c>
      <c r="L95" s="416">
        <f>L90+L94</f>
        <v>391778.52219285409</v>
      </c>
    </row>
    <row r="96" spans="1:12" ht="15.6" customHeight="1" x14ac:dyDescent="0.3">
      <c r="A96" s="406" t="s">
        <v>168</v>
      </c>
      <c r="B96" s="404">
        <v>174</v>
      </c>
      <c r="C96" s="402">
        <v>77</v>
      </c>
      <c r="D96" s="404">
        <v>189</v>
      </c>
      <c r="E96" s="402">
        <v>-187</v>
      </c>
      <c r="F96" s="402">
        <v>4058</v>
      </c>
      <c r="G96" s="402">
        <v>11146</v>
      </c>
      <c r="H96" s="210">
        <f>G72</f>
        <v>21146.146584045015</v>
      </c>
      <c r="I96" s="210">
        <f>H72</f>
        <v>29251.444969722448</v>
      </c>
      <c r="J96" s="210">
        <f>I72</f>
        <v>38066.796405213281</v>
      </c>
      <c r="K96" s="210">
        <f>J72</f>
        <v>43803.347666050511</v>
      </c>
      <c r="L96" s="210">
        <f>K72</f>
        <v>54848.99310699958</v>
      </c>
    </row>
    <row r="97" spans="1:12" ht="15.6" customHeight="1" x14ac:dyDescent="0.3">
      <c r="A97" s="546" t="s">
        <v>170</v>
      </c>
      <c r="B97" s="547">
        <v>2796</v>
      </c>
      <c r="C97" s="547">
        <v>4332</v>
      </c>
      <c r="D97" s="547">
        <v>9752</v>
      </c>
      <c r="E97" s="547">
        <v>4368</v>
      </c>
      <c r="F97" s="547">
        <v>29760</v>
      </c>
      <c r="G97" s="547">
        <v>72880</v>
      </c>
      <c r="H97" s="548">
        <f>H95-H96</f>
        <v>119828.16397625509</v>
      </c>
      <c r="I97" s="548">
        <f>I95-I96</f>
        <v>172482.65826974274</v>
      </c>
      <c r="J97" s="548">
        <f>J95-J96</f>
        <v>224462.83397556798</v>
      </c>
      <c r="K97" s="548">
        <f>K95-K96</f>
        <v>269077.70709145314</v>
      </c>
      <c r="L97" s="548">
        <f>L95-L96</f>
        <v>336929.52908585453</v>
      </c>
    </row>
    <row r="101" spans="1:12" ht="15.6" customHeight="1" x14ac:dyDescent="0.3">
      <c r="G101" s="547">
        <v>72880</v>
      </c>
    </row>
  </sheetData>
  <mergeCells count="6">
    <mergeCell ref="H42:M42"/>
    <mergeCell ref="AA2:AL2"/>
    <mergeCell ref="N2:Y2"/>
    <mergeCell ref="B79:G79"/>
    <mergeCell ref="A2:K2"/>
    <mergeCell ref="H79:L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"/>
  <sheetViews>
    <sheetView showGridLines="0" topLeftCell="A22" zoomScale="78" workbookViewId="0">
      <selection activeCell="N17" sqref="N17"/>
    </sheetView>
  </sheetViews>
  <sheetFormatPr defaultRowHeight="15.6" x14ac:dyDescent="0.3"/>
  <cols>
    <col min="1" max="1" width="34.44140625" style="4" customWidth="1"/>
    <col min="2" max="3" width="15.44140625" style="4" customWidth="1"/>
    <col min="4" max="4" width="17.77734375" style="4" customWidth="1"/>
    <col min="5" max="5" width="15.21875" style="4" customWidth="1"/>
    <col min="6" max="6" width="17.6640625" style="4" customWidth="1"/>
    <col min="7" max="7" width="13.44140625" style="4" customWidth="1"/>
    <col min="8" max="8" width="15" style="4" customWidth="1"/>
    <col min="9" max="9" width="12.5546875" style="4" customWidth="1"/>
    <col min="10" max="10" width="13.44140625" style="4" customWidth="1"/>
    <col min="11" max="11" width="13" style="4" customWidth="1"/>
  </cols>
  <sheetData>
    <row r="1" spans="1:12" x14ac:dyDescent="0.3">
      <c r="A1" s="345" t="s">
        <v>185</v>
      </c>
      <c r="B1" s="711" t="s">
        <v>15</v>
      </c>
      <c r="C1" s="712"/>
      <c r="D1" s="712"/>
      <c r="E1" s="712"/>
      <c r="F1" s="712"/>
      <c r="G1" s="711" t="s">
        <v>5</v>
      </c>
      <c r="H1" s="712"/>
      <c r="I1" s="712"/>
      <c r="J1" s="712"/>
      <c r="K1" s="712"/>
    </row>
    <row r="2" spans="1:12" x14ac:dyDescent="0.3">
      <c r="A2" s="3" t="s">
        <v>349</v>
      </c>
      <c r="B2" s="209" t="s">
        <v>188</v>
      </c>
      <c r="C2" s="209" t="s">
        <v>189</v>
      </c>
      <c r="D2" s="209" t="s">
        <v>190</v>
      </c>
      <c r="E2" s="209" t="s">
        <v>191</v>
      </c>
      <c r="F2" s="209" t="s">
        <v>192</v>
      </c>
      <c r="G2" s="209" t="s">
        <v>6</v>
      </c>
      <c r="H2" s="209" t="s">
        <v>7</v>
      </c>
      <c r="I2" s="209" t="s">
        <v>8</v>
      </c>
      <c r="J2" s="209" t="s">
        <v>9</v>
      </c>
      <c r="K2" s="209" t="s">
        <v>10</v>
      </c>
    </row>
    <row r="3" spans="1:12" x14ac:dyDescent="0.3">
      <c r="A3" s="4" t="s">
        <v>201</v>
      </c>
      <c r="B3" s="206">
        <v>11561</v>
      </c>
      <c r="C3" s="206">
        <v>21208</v>
      </c>
      <c r="D3" s="206">
        <v>13296</v>
      </c>
      <c r="E3" s="206">
        <v>25984</v>
      </c>
      <c r="F3" s="206">
        <v>43210</v>
      </c>
      <c r="G3" s="105">
        <f>'04a_Projection_IS'!G53</f>
        <v>59238.552799999998</v>
      </c>
      <c r="H3" s="105">
        <f>'04a_Projection_IS'!H53</f>
        <v>73780.321499999991</v>
      </c>
      <c r="I3" s="105">
        <f>'04a_Projection_IS'!I53</f>
        <v>85435.628891040004</v>
      </c>
      <c r="J3" s="105">
        <f>'04a_Projection_IS'!J53</f>
        <v>94448.314560283194</v>
      </c>
      <c r="K3" s="105">
        <f>'04a_Projection_IS'!K53</f>
        <v>109550.88787692015</v>
      </c>
    </row>
    <row r="4" spans="1:12" x14ac:dyDescent="0.3">
      <c r="A4" s="4" t="s">
        <v>202</v>
      </c>
      <c r="B4" s="206">
        <v>2429</v>
      </c>
      <c r="C4" s="206">
        <v>4650</v>
      </c>
      <c r="D4" s="206">
        <v>3827</v>
      </c>
      <c r="E4" s="206">
        <v>9999</v>
      </c>
      <c r="F4" s="206">
        <v>23065</v>
      </c>
      <c r="G4" s="105">
        <f>'09_WorkingCapital'!G9</f>
        <v>36814.143945308344</v>
      </c>
      <c r="H4" s="105">
        <f>'09_WorkingCapital'!H9</f>
        <v>50544.804705258342</v>
      </c>
      <c r="I4" s="105">
        <f>'09_WorkingCapital'!I9</f>
        <v>62601.352401072589</v>
      </c>
      <c r="J4" s="105">
        <f>'09_WorkingCapital'!J9</f>
        <v>71174.727546384296</v>
      </c>
      <c r="K4" s="105">
        <f>'09_WorkingCapital'!K9</f>
        <v>85057.775828408892</v>
      </c>
    </row>
    <row r="5" spans="1:12" x14ac:dyDescent="0.3">
      <c r="A5" s="4" t="s">
        <v>203</v>
      </c>
      <c r="B5" s="206">
        <v>1826</v>
      </c>
      <c r="C5" s="206">
        <v>2605</v>
      </c>
      <c r="D5" s="206">
        <v>5159</v>
      </c>
      <c r="E5" s="206">
        <v>5282</v>
      </c>
      <c r="F5" s="206">
        <v>10080</v>
      </c>
      <c r="G5" s="105">
        <f>'09_WorkingCapital'!G10</f>
        <v>14671.936523953385</v>
      </c>
      <c r="H5" s="105">
        <f>'09_WorkingCapital'!H10</f>
        <v>17838.155840999723</v>
      </c>
      <c r="I5" s="105">
        <f>'09_WorkingCapital'!I10</f>
        <v>19347.738211713298</v>
      </c>
      <c r="J5" s="105">
        <f>'09_WorkingCapital'!J10</f>
        <v>19008.150021964211</v>
      </c>
      <c r="K5" s="105">
        <f>'09_WorkingCapital'!K10</f>
        <v>19309.216032879547</v>
      </c>
    </row>
    <row r="6" spans="1:12" x14ac:dyDescent="0.3">
      <c r="A6" s="4" t="s">
        <v>204</v>
      </c>
      <c r="B6" s="206">
        <v>239</v>
      </c>
      <c r="C6" s="206">
        <v>366</v>
      </c>
      <c r="D6" s="206">
        <v>791</v>
      </c>
      <c r="E6" s="206">
        <v>3080</v>
      </c>
      <c r="F6" s="206">
        <v>3771</v>
      </c>
      <c r="G6" s="105">
        <f>'09_WorkingCapital'!G11</f>
        <v>5074.2629559353854</v>
      </c>
      <c r="H6" s="105">
        <f>'09_WorkingCapital'!H11</f>
        <v>5865.4370655565617</v>
      </c>
      <c r="I6" s="105">
        <f>'09_WorkingCapital'!I11</f>
        <v>5870.9843013738528</v>
      </c>
      <c r="J6" s="105">
        <f>'09_WorkingCapital'!J11</f>
        <v>5666.8988736169913</v>
      </c>
      <c r="K6" s="105">
        <f>'09_WorkingCapital'!K11</f>
        <v>5581.8785727764089</v>
      </c>
    </row>
    <row r="7" spans="1:12" s="1" customFormat="1" x14ac:dyDescent="0.3">
      <c r="A7" s="5" t="s">
        <v>205</v>
      </c>
      <c r="B7" s="207">
        <v>16055</v>
      </c>
      <c r="C7" s="207">
        <v>28829</v>
      </c>
      <c r="D7" s="207">
        <v>23073</v>
      </c>
      <c r="E7" s="207">
        <v>44345</v>
      </c>
      <c r="F7" s="207">
        <v>80126</v>
      </c>
      <c r="G7" s="204">
        <f>SUM(G3:G6)</f>
        <v>115798.89622519711</v>
      </c>
      <c r="H7" s="204">
        <f>SUM(H3:H6)</f>
        <v>148028.7191118146</v>
      </c>
      <c r="I7" s="204">
        <f>SUM(I3:I6)</f>
        <v>173255.70380519974</v>
      </c>
      <c r="J7" s="204">
        <f>SUM(J3:J6)</f>
        <v>190298.09100224869</v>
      </c>
      <c r="K7" s="204">
        <f>SUM(K3:K6)</f>
        <v>219499.75831098502</v>
      </c>
    </row>
    <row r="8" spans="1:12" x14ac:dyDescent="0.3">
      <c r="A8" s="4" t="s">
        <v>206</v>
      </c>
      <c r="B8" s="206">
        <f>'02_Historical_BS'!B11</f>
        <v>2149</v>
      </c>
      <c r="C8" s="206">
        <f>'02_Historical_BS'!C11</f>
        <v>2778</v>
      </c>
      <c r="D8" s="206">
        <f>'02_Historical_BS'!D11</f>
        <v>3807</v>
      </c>
      <c r="E8" s="206">
        <f>'02_Historical_BS'!E11</f>
        <v>3914</v>
      </c>
      <c r="F8" s="206">
        <f>'02_Historical_BS'!F11</f>
        <v>6283</v>
      </c>
      <c r="G8" s="105">
        <f>'12_FixedAssets'!I15</f>
        <v>9937.7902399999984</v>
      </c>
      <c r="H8" s="105">
        <f>'12_FixedAssets'!J15</f>
        <v>17492.895161599998</v>
      </c>
      <c r="I8" s="105">
        <f>'12_FixedAssets'!K15</f>
        <v>27494.619521267199</v>
      </c>
      <c r="J8" s="105">
        <f>'12_FixedAssets'!L15</f>
        <v>38164.672018752637</v>
      </c>
      <c r="K8" s="105">
        <f>'12_FixedAssets'!M15</f>
        <v>50711.100058957454</v>
      </c>
    </row>
    <row r="9" spans="1:12" x14ac:dyDescent="0.3">
      <c r="A9" s="4" t="s">
        <v>207</v>
      </c>
      <c r="B9" s="221">
        <v>707</v>
      </c>
      <c r="C9" s="221">
        <v>829</v>
      </c>
      <c r="D9" s="221">
        <v>1038</v>
      </c>
      <c r="E9" s="221">
        <v>1346</v>
      </c>
      <c r="F9" s="221">
        <v>1793</v>
      </c>
      <c r="G9" s="83">
        <f t="shared" ref="G9:K10" si="0">F9</f>
        <v>1793</v>
      </c>
      <c r="H9" s="83">
        <f t="shared" si="0"/>
        <v>1793</v>
      </c>
      <c r="I9" s="83">
        <f t="shared" si="0"/>
        <v>1793</v>
      </c>
      <c r="J9" s="83">
        <f t="shared" si="0"/>
        <v>1793</v>
      </c>
      <c r="K9" s="83">
        <f t="shared" si="0"/>
        <v>1793</v>
      </c>
      <c r="L9" s="16"/>
    </row>
    <row r="10" spans="1:12" x14ac:dyDescent="0.3">
      <c r="A10" s="4" t="s">
        <v>209</v>
      </c>
      <c r="B10" s="206">
        <v>4193</v>
      </c>
      <c r="C10" s="206">
        <v>4349</v>
      </c>
      <c r="D10" s="206">
        <v>4372</v>
      </c>
      <c r="E10" s="206">
        <v>4430</v>
      </c>
      <c r="F10" s="206">
        <v>5188</v>
      </c>
      <c r="G10" s="105">
        <f t="shared" si="0"/>
        <v>5188</v>
      </c>
      <c r="H10" s="105">
        <f t="shared" si="0"/>
        <v>5188</v>
      </c>
      <c r="I10" s="105">
        <f t="shared" si="0"/>
        <v>5188</v>
      </c>
      <c r="J10" s="105">
        <f t="shared" si="0"/>
        <v>5188</v>
      </c>
      <c r="K10" s="105">
        <f t="shared" si="0"/>
        <v>5188</v>
      </c>
    </row>
    <row r="11" spans="1:12" x14ac:dyDescent="0.3">
      <c r="A11" s="4" t="s">
        <v>384</v>
      </c>
      <c r="B11" s="206">
        <v>2737</v>
      </c>
      <c r="C11" s="206">
        <v>2339</v>
      </c>
      <c r="D11" s="206">
        <v>1676</v>
      </c>
      <c r="E11" s="206">
        <v>1112</v>
      </c>
      <c r="F11" s="206">
        <v>807</v>
      </c>
      <c r="G11" s="105">
        <f>'12_FixedAssets'!I27</f>
        <v>1214.6385359999999</v>
      </c>
      <c r="H11" s="105">
        <f>'12_FixedAssets'!J27</f>
        <v>2111.9042742399997</v>
      </c>
      <c r="I11" s="105">
        <f>'12_FixedAssets'!K27</f>
        <v>3498.8829281900798</v>
      </c>
      <c r="J11" s="105">
        <f>'12_FixedAssets'!L27</f>
        <v>5013.4008028128956</v>
      </c>
      <c r="K11" s="105">
        <f>'12_FixedAssets'!M27</f>
        <v>6756.2150088436183</v>
      </c>
    </row>
    <row r="12" spans="1:12" x14ac:dyDescent="0.3">
      <c r="A12" s="4" t="s">
        <v>213</v>
      </c>
      <c r="B12" s="206">
        <f>'02_Historical_BS'!B15+'02_Historical_BS'!B16</f>
        <v>2950</v>
      </c>
      <c r="C12" s="206">
        <f>'02_Historical_BS'!C15+'02_Historical_BS'!C16</f>
        <v>5063</v>
      </c>
      <c r="D12" s="206">
        <f>'02_Historical_BS'!D15+'02_Historical_BS'!D16</f>
        <v>7216</v>
      </c>
      <c r="E12" s="206">
        <f>'02_Historical_BS'!E15+'02_Historical_BS'!E16</f>
        <v>10581</v>
      </c>
      <c r="F12" s="206">
        <f>'02_Historical_BS'!F15+'02_Historical_BS'!F16</f>
        <v>17404</v>
      </c>
      <c r="G12" s="105">
        <f>F12</f>
        <v>17404</v>
      </c>
      <c r="H12" s="105">
        <f>G12</f>
        <v>17404</v>
      </c>
      <c r="I12" s="105">
        <f>H12</f>
        <v>17404</v>
      </c>
      <c r="J12" s="105">
        <f>I12</f>
        <v>17404</v>
      </c>
      <c r="K12" s="105">
        <f>J12</f>
        <v>17404</v>
      </c>
    </row>
    <row r="13" spans="1:12" s="1" customFormat="1" x14ac:dyDescent="0.3">
      <c r="A13" s="43" t="s">
        <v>215</v>
      </c>
      <c r="B13" s="208">
        <f>SUM(B7:B12)</f>
        <v>28791</v>
      </c>
      <c r="C13" s="208">
        <v>44187</v>
      </c>
      <c r="D13" s="208">
        <v>41182</v>
      </c>
      <c r="E13" s="208">
        <v>65728</v>
      </c>
      <c r="F13" s="208">
        <v>111601</v>
      </c>
      <c r="G13" s="204">
        <f>G7+G8+G9+G10+G11+G12</f>
        <v>151336.32500119714</v>
      </c>
      <c r="H13" s="204">
        <f>H7+H8+H9+H10+H11+H12</f>
        <v>192018.51854765459</v>
      </c>
      <c r="I13" s="204">
        <f>I7+I8+I9+I10+I11+I12</f>
        <v>228634.20625465701</v>
      </c>
      <c r="J13" s="204">
        <f>J7+J8+J9+J10+J11+J12</f>
        <v>257861.16382381422</v>
      </c>
      <c r="K13" s="204">
        <f>K7+K8+K9+K10+K11+K12</f>
        <v>301352.0733787861</v>
      </c>
    </row>
    <row r="14" spans="1:12" x14ac:dyDescent="0.3">
      <c r="A14" s="4" t="s">
        <v>216</v>
      </c>
      <c r="B14" s="206">
        <v>1149</v>
      </c>
      <c r="C14" s="206">
        <v>1783</v>
      </c>
      <c r="D14" s="206">
        <v>1193</v>
      </c>
      <c r="E14" s="206">
        <v>2699</v>
      </c>
      <c r="F14" s="206">
        <v>6310</v>
      </c>
      <c r="G14" s="105">
        <f>'09_WorkingCapital'!B14</f>
        <v>1149</v>
      </c>
      <c r="H14" s="105">
        <f>'09_WorkingCapital'!C14</f>
        <v>1783</v>
      </c>
      <c r="I14" s="105">
        <f>'09_WorkingCapital'!D14</f>
        <v>1193</v>
      </c>
      <c r="J14" s="105">
        <f>'09_WorkingCapital'!E14</f>
        <v>2699</v>
      </c>
      <c r="K14" s="105">
        <f>'09_WorkingCapital'!F14</f>
        <v>6310</v>
      </c>
    </row>
    <row r="15" spans="1:12" x14ac:dyDescent="0.3">
      <c r="A15" s="4" t="s">
        <v>217</v>
      </c>
      <c r="B15" s="206">
        <v>297</v>
      </c>
      <c r="C15" s="206">
        <v>409</v>
      </c>
      <c r="D15" s="206">
        <v>530</v>
      </c>
      <c r="E15" s="206">
        <v>675</v>
      </c>
      <c r="F15" s="206">
        <v>848</v>
      </c>
      <c r="G15" s="105">
        <f>'09_WorkingCapital'!B15</f>
        <v>2776</v>
      </c>
      <c r="H15" s="105">
        <f>'09_WorkingCapital'!C15</f>
        <v>2552</v>
      </c>
      <c r="I15" s="105">
        <f>'09_WorkingCapital'!D15</f>
        <v>5370</v>
      </c>
      <c r="J15" s="105">
        <f>'09_WorkingCapital'!E15</f>
        <v>7932</v>
      </c>
      <c r="K15" s="105">
        <f>'09_WorkingCapital'!F15</f>
        <v>11737</v>
      </c>
    </row>
    <row r="16" spans="1:12" x14ac:dyDescent="0.3">
      <c r="A16" s="4" t="s">
        <v>218</v>
      </c>
      <c r="B16" s="206">
        <v>999</v>
      </c>
      <c r="C16" s="206">
        <v>0</v>
      </c>
      <c r="D16" s="206">
        <v>1250</v>
      </c>
      <c r="E16" s="206">
        <v>1250</v>
      </c>
      <c r="F16" s="206">
        <v>0</v>
      </c>
      <c r="G16" s="105">
        <f>-'13_DebtSchedule'!I7</f>
        <v>1000</v>
      </c>
      <c r="H16" s="105">
        <f>-'13_DebtSchedule'!J7</f>
        <v>0</v>
      </c>
      <c r="I16" s="105">
        <f>-'13_DebtSchedule'!K7</f>
        <v>1250</v>
      </c>
      <c r="J16" s="105">
        <f>-'13_DebtSchedule'!L7</f>
        <v>0</v>
      </c>
      <c r="K16" s="105">
        <f>-'13_DebtSchedule'!M7</f>
        <v>1500</v>
      </c>
    </row>
    <row r="17" spans="1:11" x14ac:dyDescent="0.3">
      <c r="A17" s="4" t="s">
        <v>220</v>
      </c>
      <c r="B17" s="206">
        <v>0</v>
      </c>
      <c r="C17" s="206">
        <v>144</v>
      </c>
      <c r="D17" s="206">
        <v>176</v>
      </c>
      <c r="E17" s="206">
        <v>228</v>
      </c>
      <c r="F17" s="206">
        <v>288</v>
      </c>
      <c r="G17" s="105">
        <f>G38</f>
        <v>530.25788599889313</v>
      </c>
      <c r="H17" s="105">
        <f>H38</f>
        <v>772.51577199778637</v>
      </c>
      <c r="I17" s="105">
        <f>I38</f>
        <v>1014.7736579966795</v>
      </c>
      <c r="J17" s="105">
        <f>J38</f>
        <v>1257.0315439955727</v>
      </c>
      <c r="K17" s="105">
        <f>K38</f>
        <v>1499.2894299944658</v>
      </c>
    </row>
    <row r="18" spans="1:11" x14ac:dyDescent="0.3">
      <c r="A18" s="4" t="s">
        <v>221</v>
      </c>
      <c r="B18" s="206">
        <v>0</v>
      </c>
      <c r="C18" s="206">
        <v>132</v>
      </c>
      <c r="D18" s="206">
        <v>467</v>
      </c>
      <c r="E18" s="206">
        <v>296</v>
      </c>
      <c r="F18" s="206">
        <v>881</v>
      </c>
      <c r="G18" s="105">
        <f>G51</f>
        <v>1671.4296734742202</v>
      </c>
      <c r="H18" s="105">
        <f>H51</f>
        <v>2312.0871180984636</v>
      </c>
      <c r="I18" s="105">
        <f>I51</f>
        <v>3008.8684400675493</v>
      </c>
      <c r="J18" s="105">
        <f>J51</f>
        <v>3462.2958275426613</v>
      </c>
      <c r="K18" s="105">
        <f>K51</f>
        <v>4335.3636216819159</v>
      </c>
    </row>
    <row r="19" spans="1:11" x14ac:dyDescent="0.3">
      <c r="A19" s="4" t="s">
        <v>223</v>
      </c>
      <c r="B19" s="206">
        <f>'02_Historical_BS'!B23+'02_Historical_BS'!B24</f>
        <v>1480</v>
      </c>
      <c r="C19" s="206">
        <f>'02_Historical_BS'!C23+'02_Historical_BS'!C24</f>
        <v>1867</v>
      </c>
      <c r="D19" s="206">
        <f>'02_Historical_BS'!D23+'02_Historical_BS'!D24</f>
        <v>2947</v>
      </c>
      <c r="E19" s="206">
        <f>'02_Historical_BS'!E23+'02_Historical_BS'!E24</f>
        <v>5483</v>
      </c>
      <c r="F19" s="206">
        <f>'02_Historical_BS'!F23+'02_Historical_BS'!F24</f>
        <v>9720</v>
      </c>
      <c r="G19" s="346">
        <f>G55</f>
        <v>9366.8571849632081</v>
      </c>
      <c r="H19" s="346">
        <f>H55</f>
        <v>13544.462191285667</v>
      </c>
      <c r="I19" s="346">
        <f>I55</f>
        <v>17649.804820390975</v>
      </c>
      <c r="J19" s="346">
        <f>J55</f>
        <v>21328.09519290481</v>
      </c>
      <c r="K19" s="346">
        <f>K55</f>
        <v>24848.653175117648</v>
      </c>
    </row>
    <row r="20" spans="1:11" s="1" customFormat="1" x14ac:dyDescent="0.3">
      <c r="A20" s="5" t="s">
        <v>224</v>
      </c>
      <c r="B20" s="207">
        <v>3925</v>
      </c>
      <c r="C20" s="207">
        <v>4335</v>
      </c>
      <c r="D20" s="207">
        <v>6563</v>
      </c>
      <c r="E20" s="207">
        <v>10631</v>
      </c>
      <c r="F20" s="207">
        <v>18047</v>
      </c>
      <c r="G20" s="204">
        <f>SUM(G14:G19)</f>
        <v>16493.544744436324</v>
      </c>
      <c r="H20" s="204">
        <f>SUM(H14:H19)</f>
        <v>20964.065081381916</v>
      </c>
      <c r="I20" s="204">
        <f>SUM(I14:I19)</f>
        <v>29486.446918455204</v>
      </c>
      <c r="J20" s="204">
        <f>SUM(J14:J19)</f>
        <v>36678.422564443041</v>
      </c>
      <c r="K20" s="204">
        <f>SUM(K14:K19)</f>
        <v>50230.306226794026</v>
      </c>
    </row>
    <row r="21" spans="1:11" x14ac:dyDescent="0.3">
      <c r="A21" s="4" t="s">
        <v>225</v>
      </c>
      <c r="B21" s="206">
        <v>5964</v>
      </c>
      <c r="C21" s="206">
        <v>10946</v>
      </c>
      <c r="D21" s="206">
        <v>9703</v>
      </c>
      <c r="E21" s="206">
        <v>8459</v>
      </c>
      <c r="F21" s="206">
        <v>8463</v>
      </c>
      <c r="G21" s="105">
        <f>'13_DebtSchedule'!I8</f>
        <v>7463</v>
      </c>
      <c r="H21" s="105">
        <f>'13_DebtSchedule'!J8</f>
        <v>7463</v>
      </c>
      <c r="I21" s="105">
        <f>'13_DebtSchedule'!K8</f>
        <v>6213</v>
      </c>
      <c r="J21" s="105">
        <f>'13_DebtSchedule'!L8</f>
        <v>6213</v>
      </c>
      <c r="K21" s="105">
        <f>'13_DebtSchedule'!M8</f>
        <v>4713</v>
      </c>
    </row>
    <row r="22" spans="1:11" x14ac:dyDescent="0.3">
      <c r="A22" s="4" t="s">
        <v>226</v>
      </c>
      <c r="B22" s="206">
        <v>634</v>
      </c>
      <c r="C22" s="206">
        <v>741</v>
      </c>
      <c r="D22" s="206">
        <v>902</v>
      </c>
      <c r="E22" s="206">
        <v>1119</v>
      </c>
      <c r="F22" s="206">
        <v>1519</v>
      </c>
      <c r="G22" s="105">
        <f>G39</f>
        <v>2796.742114001107</v>
      </c>
      <c r="H22" s="105">
        <f>H39</f>
        <v>4074.4842280022135</v>
      </c>
      <c r="I22" s="105">
        <f>I39</f>
        <v>5352.2263420033205</v>
      </c>
      <c r="J22" s="105">
        <f>J39</f>
        <v>6629.968456004427</v>
      </c>
      <c r="K22" s="105">
        <f>K39</f>
        <v>7907.7105700055345</v>
      </c>
    </row>
    <row r="23" spans="1:11" x14ac:dyDescent="0.3">
      <c r="A23" s="4" t="s">
        <v>229</v>
      </c>
      <c r="B23" s="206">
        <f>'02_Historical_BS'!B28+'02_Historical_BS'!B29+'02_Historical_BS'!B30</f>
        <v>1375</v>
      </c>
      <c r="C23" s="206">
        <f>'02_Historical_BS'!C28+'02_Historical_BS'!C29+'02_Historical_BS'!C30</f>
        <v>1553</v>
      </c>
      <c r="D23" s="206">
        <f>'02_Historical_BS'!D28+'02_Historical_BS'!D29+'02_Historical_BS'!D30</f>
        <v>1913</v>
      </c>
      <c r="E23" s="206">
        <f>'02_Historical_BS'!E28+'02_Historical_BS'!E29+'02_Historical_BS'!E30</f>
        <v>2541</v>
      </c>
      <c r="F23" s="206">
        <f>'02_Historical_BS'!F28+'02_Historical_BS'!F29+'02_Historical_BS'!F30</f>
        <v>4245</v>
      </c>
      <c r="G23" s="105">
        <f>F23</f>
        <v>4245</v>
      </c>
      <c r="H23" s="105">
        <f>G23</f>
        <v>4245</v>
      </c>
      <c r="I23" s="105">
        <f>H23</f>
        <v>4245</v>
      </c>
      <c r="J23" s="105">
        <f>I23</f>
        <v>4245</v>
      </c>
      <c r="K23" s="105">
        <f>J23</f>
        <v>4245</v>
      </c>
    </row>
    <row r="24" spans="1:11" s="1" customFormat="1" x14ac:dyDescent="0.3">
      <c r="A24" s="43" t="s">
        <v>230</v>
      </c>
      <c r="B24" s="208">
        <v>11898</v>
      </c>
      <c r="C24" s="208">
        <v>17575</v>
      </c>
      <c r="D24" s="208">
        <v>19081</v>
      </c>
      <c r="E24" s="208">
        <v>22750</v>
      </c>
      <c r="F24" s="208">
        <v>32274</v>
      </c>
      <c r="G24" s="204">
        <f>SUM(G20:G23)</f>
        <v>30998.28685843743</v>
      </c>
      <c r="H24" s="204">
        <f>SUM(H20:H23)</f>
        <v>36746.549309384129</v>
      </c>
      <c r="I24" s="204">
        <f>SUM(I20:I23)</f>
        <v>45296.67326045852</v>
      </c>
      <c r="J24" s="204">
        <f>SUM(J20:J23)</f>
        <v>53766.391020447467</v>
      </c>
      <c r="K24" s="204">
        <f>SUM(K20:K23)</f>
        <v>67096.016796799551</v>
      </c>
    </row>
    <row r="25" spans="1:11" x14ac:dyDescent="0.3">
      <c r="A25" s="4" t="s">
        <v>231</v>
      </c>
      <c r="B25" s="206">
        <v>3</v>
      </c>
      <c r="C25" s="206">
        <v>3</v>
      </c>
      <c r="D25" s="206">
        <v>2</v>
      </c>
      <c r="E25" s="206">
        <v>25</v>
      </c>
      <c r="F25" s="206">
        <v>24</v>
      </c>
      <c r="G25" s="105">
        <f>F25</f>
        <v>24</v>
      </c>
      <c r="H25" s="105">
        <f>G25</f>
        <v>24</v>
      </c>
      <c r="I25" s="105">
        <f>H25</f>
        <v>24</v>
      </c>
      <c r="J25" s="105">
        <f>I25</f>
        <v>24</v>
      </c>
      <c r="K25" s="105">
        <f>J25</f>
        <v>24</v>
      </c>
    </row>
    <row r="26" spans="1:11" x14ac:dyDescent="0.3">
      <c r="A26" s="4" t="s">
        <v>232</v>
      </c>
      <c r="B26" s="206">
        <v>8719</v>
      </c>
      <c r="C26" s="206">
        <v>10385</v>
      </c>
      <c r="D26" s="206">
        <v>11971</v>
      </c>
      <c r="E26" s="206">
        <v>13109</v>
      </c>
      <c r="F26" s="206">
        <v>11237</v>
      </c>
      <c r="G26" s="105">
        <f>F26+E65</f>
        <v>16314.59024</v>
      </c>
      <c r="H26" s="105">
        <f>G26+F65</f>
        <v>21921.894673999999</v>
      </c>
      <c r="I26" s="105">
        <f>H26+G65</f>
        <v>28236.702026815998</v>
      </c>
      <c r="J26" s="105">
        <f>I26+H65</f>
        <v>35105.670358472955</v>
      </c>
      <c r="K26" s="105">
        <f>J26+I65</f>
        <v>43452.404672904966</v>
      </c>
    </row>
    <row r="27" spans="1:11" x14ac:dyDescent="0.3">
      <c r="A27" s="4" t="s">
        <v>233</v>
      </c>
      <c r="B27" s="206">
        <v>18908</v>
      </c>
      <c r="C27" s="206">
        <v>16235</v>
      </c>
      <c r="D27" s="206">
        <v>10171</v>
      </c>
      <c r="E27" s="206">
        <v>29817</v>
      </c>
      <c r="F27" s="206">
        <v>68038</v>
      </c>
      <c r="G27" s="105">
        <f>G80</f>
        <v>186667.88233649256</v>
      </c>
      <c r="H27" s="105">
        <f>H80</f>
        <v>357598.19668180757</v>
      </c>
      <c r="I27" s="105">
        <f>I80</f>
        <v>580040.86515159544</v>
      </c>
      <c r="J27" s="105">
        <f>J80</f>
        <v>846965.95058631699</v>
      </c>
      <c r="K27" s="105">
        <f>K80</f>
        <v>1181200.0434394849</v>
      </c>
    </row>
    <row r="28" spans="1:11" x14ac:dyDescent="0.3">
      <c r="A28" s="4" t="s">
        <v>234</v>
      </c>
      <c r="B28" s="206">
        <v>-10756</v>
      </c>
      <c r="C28" s="206">
        <v>0</v>
      </c>
      <c r="D28" s="206">
        <v>0</v>
      </c>
      <c r="E28" s="206">
        <v>0</v>
      </c>
      <c r="F28" s="206">
        <v>0</v>
      </c>
      <c r="G28" s="105">
        <f t="shared" ref="G28:K29" si="1">F28</f>
        <v>0</v>
      </c>
      <c r="H28" s="105">
        <f t="shared" si="1"/>
        <v>0</v>
      </c>
      <c r="I28" s="105">
        <f t="shared" si="1"/>
        <v>0</v>
      </c>
      <c r="J28" s="105">
        <f t="shared" si="1"/>
        <v>0</v>
      </c>
      <c r="K28" s="105">
        <f t="shared" si="1"/>
        <v>0</v>
      </c>
    </row>
    <row r="29" spans="1:11" x14ac:dyDescent="0.3">
      <c r="A29" s="4" t="s">
        <v>235</v>
      </c>
      <c r="B29" s="206">
        <v>19</v>
      </c>
      <c r="C29" s="206">
        <v>-11</v>
      </c>
      <c r="D29" s="206">
        <v>-43</v>
      </c>
      <c r="E29" s="206">
        <v>27</v>
      </c>
      <c r="F29" s="206">
        <v>28</v>
      </c>
      <c r="G29" s="105">
        <f t="shared" si="1"/>
        <v>28</v>
      </c>
      <c r="H29" s="105">
        <f t="shared" si="1"/>
        <v>28</v>
      </c>
      <c r="I29" s="105">
        <f t="shared" si="1"/>
        <v>28</v>
      </c>
      <c r="J29" s="105">
        <f t="shared" si="1"/>
        <v>28</v>
      </c>
      <c r="K29" s="105">
        <f t="shared" si="1"/>
        <v>28</v>
      </c>
    </row>
    <row r="30" spans="1:11" x14ac:dyDescent="0.3">
      <c r="A30" s="43" t="s">
        <v>236</v>
      </c>
      <c r="B30" s="208">
        <v>16893</v>
      </c>
      <c r="C30" s="208">
        <v>26612</v>
      </c>
      <c r="D30" s="208">
        <v>22101</v>
      </c>
      <c r="E30" s="208">
        <v>42978</v>
      </c>
      <c r="F30" s="208">
        <v>79327</v>
      </c>
      <c r="G30" s="204">
        <f>SUM(G25:G29)</f>
        <v>203034.47257649255</v>
      </c>
      <c r="H30" s="204">
        <f>SUM(H25:H29)</f>
        <v>379572.09135580756</v>
      </c>
      <c r="I30" s="204">
        <f>SUM(I25:I29)</f>
        <v>608329.56717841141</v>
      </c>
      <c r="J30" s="204">
        <f>SUM(J25:J29)</f>
        <v>882123.62094478996</v>
      </c>
      <c r="K30" s="204">
        <f>SUM(K25:K29)</f>
        <v>1224704.4481123898</v>
      </c>
    </row>
    <row r="31" spans="1:11" x14ac:dyDescent="0.3">
      <c r="A31" s="43" t="s">
        <v>237</v>
      </c>
      <c r="B31" s="208">
        <v>28791</v>
      </c>
      <c r="C31" s="208">
        <v>44187</v>
      </c>
      <c r="D31" s="208">
        <v>41182</v>
      </c>
      <c r="E31" s="208">
        <v>65728</v>
      </c>
      <c r="F31" s="208">
        <v>111601</v>
      </c>
      <c r="G31" s="204">
        <f>G30+G24</f>
        <v>234032.75943492999</v>
      </c>
      <c r="H31" s="204">
        <f>H30+H24</f>
        <v>416318.64066519169</v>
      </c>
      <c r="I31" s="204">
        <f>I30+I24</f>
        <v>653626.24043886992</v>
      </c>
      <c r="J31" s="204">
        <f>J30+J24</f>
        <v>935890.01196523744</v>
      </c>
      <c r="K31" s="204">
        <f>K30+K24</f>
        <v>1291800.4649091894</v>
      </c>
    </row>
    <row r="33" spans="1:11" x14ac:dyDescent="0.3">
      <c r="A33" s="347" t="s">
        <v>238</v>
      </c>
      <c r="B33" s="348">
        <f>B13-B31</f>
        <v>0</v>
      </c>
      <c r="C33" s="348">
        <f>C13-C31</f>
        <v>0</v>
      </c>
      <c r="D33" s="348">
        <f>D13-D31</f>
        <v>0</v>
      </c>
      <c r="E33" s="348">
        <f>E13-E31</f>
        <v>0</v>
      </c>
      <c r="F33" s="348">
        <f>F13-F31</f>
        <v>0</v>
      </c>
      <c r="G33" s="348"/>
      <c r="H33" s="348"/>
      <c r="I33" s="348"/>
      <c r="J33" s="348"/>
      <c r="K33" s="348"/>
    </row>
    <row r="36" spans="1:11" ht="18" customHeight="1" x14ac:dyDescent="0.3">
      <c r="A36" s="713" t="s">
        <v>385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</row>
    <row r="37" spans="1:11" x14ac:dyDescent="0.3">
      <c r="B37" s="209" t="s">
        <v>386</v>
      </c>
      <c r="C37" s="209" t="s">
        <v>387</v>
      </c>
      <c r="D37" s="209" t="s">
        <v>388</v>
      </c>
      <c r="E37" s="209" t="s">
        <v>389</v>
      </c>
      <c r="F37" s="209" t="s">
        <v>390</v>
      </c>
      <c r="G37" s="3" t="s">
        <v>22</v>
      </c>
      <c r="H37" s="3" t="s">
        <v>23</v>
      </c>
      <c r="I37" s="3" t="s">
        <v>24</v>
      </c>
      <c r="J37" s="3" t="s">
        <v>25</v>
      </c>
      <c r="K37" s="3" t="s">
        <v>26</v>
      </c>
    </row>
    <row r="38" spans="1:11" x14ac:dyDescent="0.3">
      <c r="A38" s="4" t="s">
        <v>220</v>
      </c>
      <c r="B38" s="188">
        <f>B17</f>
        <v>0</v>
      </c>
      <c r="C38" s="188">
        <f>C17</f>
        <v>144</v>
      </c>
      <c r="D38" s="188">
        <f>D17</f>
        <v>176</v>
      </c>
      <c r="E38" s="188">
        <f>E17</f>
        <v>228</v>
      </c>
      <c r="F38" s="188">
        <f>F17</f>
        <v>288</v>
      </c>
      <c r="G38" s="188">
        <f>G41*G40</f>
        <v>530.25788599889313</v>
      </c>
      <c r="H38" s="188">
        <f>H41*H40</f>
        <v>772.51577199778637</v>
      </c>
      <c r="I38" s="188">
        <f>I41*I40</f>
        <v>1014.7736579966795</v>
      </c>
      <c r="J38" s="188">
        <f>J41*J40</f>
        <v>1257.0315439955727</v>
      </c>
      <c r="K38" s="188">
        <f>K41*K40</f>
        <v>1499.2894299944658</v>
      </c>
    </row>
    <row r="39" spans="1:11" x14ac:dyDescent="0.3">
      <c r="A39" s="4" t="s">
        <v>226</v>
      </c>
      <c r="B39" s="188">
        <f>B22</f>
        <v>634</v>
      </c>
      <c r="C39" s="188">
        <f>C22</f>
        <v>741</v>
      </c>
      <c r="D39" s="188">
        <f>D22</f>
        <v>902</v>
      </c>
      <c r="E39" s="188">
        <f>E22</f>
        <v>1119</v>
      </c>
      <c r="F39" s="188">
        <f>F22</f>
        <v>1519</v>
      </c>
      <c r="G39" s="188">
        <f>G40-G38</f>
        <v>2796.742114001107</v>
      </c>
      <c r="H39" s="188">
        <f>H40-H38</f>
        <v>4074.4842280022135</v>
      </c>
      <c r="I39" s="188">
        <f>I40-I38</f>
        <v>5352.2263420033205</v>
      </c>
      <c r="J39" s="188">
        <f>J40-J38</f>
        <v>6629.968456004427</v>
      </c>
      <c r="K39" s="188">
        <f>K40-K38</f>
        <v>7907.7105700055345</v>
      </c>
    </row>
    <row r="40" spans="1:11" x14ac:dyDescent="0.3">
      <c r="A40" s="349" t="s">
        <v>391</v>
      </c>
      <c r="B40" s="190">
        <f>SUM(B38:B39)</f>
        <v>634</v>
      </c>
      <c r="C40" s="190">
        <f>SUM(C38:C39)</f>
        <v>885</v>
      </c>
      <c r="D40" s="190">
        <f>SUM(D38:D39)</f>
        <v>1078</v>
      </c>
      <c r="E40" s="190">
        <f>SUM(E38:E39)</f>
        <v>1347</v>
      </c>
      <c r="F40" s="190">
        <f>SUM(F38:F39)</f>
        <v>1807</v>
      </c>
      <c r="G40" s="190">
        <f>G45</f>
        <v>3327</v>
      </c>
      <c r="H40" s="190">
        <f>H45</f>
        <v>4847</v>
      </c>
      <c r="I40" s="190">
        <f>I45</f>
        <v>6367</v>
      </c>
      <c r="J40" s="190">
        <f>J45</f>
        <v>7887</v>
      </c>
      <c r="K40" s="190">
        <f>K45</f>
        <v>9407</v>
      </c>
    </row>
    <row r="41" spans="1:11" x14ac:dyDescent="0.3">
      <c r="A41" s="4" t="s">
        <v>392</v>
      </c>
      <c r="B41" s="323">
        <f>B38/B40</f>
        <v>0</v>
      </c>
      <c r="C41" s="323">
        <f>C38/C40</f>
        <v>0.16271186440677965</v>
      </c>
      <c r="D41" s="323">
        <f>D38/D40</f>
        <v>0.16326530612244897</v>
      </c>
      <c r="E41" s="323">
        <f>E38/E40</f>
        <v>0.16926503340757237</v>
      </c>
      <c r="F41" s="323">
        <f>F38/F40</f>
        <v>0.15938018815716656</v>
      </c>
      <c r="G41" s="323">
        <f>F41</f>
        <v>0.15938018815716656</v>
      </c>
      <c r="H41" s="323">
        <f>G41</f>
        <v>0.15938018815716656</v>
      </c>
      <c r="I41" s="323">
        <f>H41</f>
        <v>0.15938018815716656</v>
      </c>
      <c r="J41" s="323">
        <f>I41</f>
        <v>0.15938018815716656</v>
      </c>
      <c r="K41" s="323">
        <f>J41</f>
        <v>0.15938018815716656</v>
      </c>
    </row>
    <row r="43" spans="1:11" x14ac:dyDescent="0.3">
      <c r="A43" s="4" t="s">
        <v>393</v>
      </c>
      <c r="B43" s="4">
        <v>0</v>
      </c>
      <c r="C43" s="188">
        <f t="shared" ref="C43:K43" si="2">B45</f>
        <v>634</v>
      </c>
      <c r="D43" s="188">
        <f t="shared" si="2"/>
        <v>885</v>
      </c>
      <c r="E43" s="188">
        <f t="shared" si="2"/>
        <v>1078</v>
      </c>
      <c r="F43" s="188">
        <f t="shared" si="2"/>
        <v>1347</v>
      </c>
      <c r="G43" s="188">
        <f t="shared" si="2"/>
        <v>1807</v>
      </c>
      <c r="H43" s="188">
        <f t="shared" si="2"/>
        <v>3327</v>
      </c>
      <c r="I43" s="188">
        <f t="shared" si="2"/>
        <v>4847</v>
      </c>
      <c r="J43" s="188">
        <f t="shared" si="2"/>
        <v>6367</v>
      </c>
      <c r="K43" s="188">
        <f t="shared" si="2"/>
        <v>7887</v>
      </c>
    </row>
    <row r="44" spans="1:11" x14ac:dyDescent="0.3">
      <c r="A44" s="4" t="s">
        <v>394</v>
      </c>
      <c r="B44" s="4">
        <v>0</v>
      </c>
      <c r="C44" s="188">
        <f>C45-C43</f>
        <v>251</v>
      </c>
      <c r="D44" s="188">
        <f>D45-D43</f>
        <v>193</v>
      </c>
      <c r="E44" s="188">
        <f>E45-E43</f>
        <v>269</v>
      </c>
      <c r="F44" s="188">
        <f>F45-F43</f>
        <v>460</v>
      </c>
      <c r="G44" s="188">
        <f>G47</f>
        <v>1520</v>
      </c>
      <c r="H44" s="188">
        <f>H47</f>
        <v>1520</v>
      </c>
      <c r="I44" s="188">
        <f>I47</f>
        <v>1520</v>
      </c>
      <c r="J44" s="188">
        <f>J47</f>
        <v>1520</v>
      </c>
      <c r="K44" s="188">
        <f>K47</f>
        <v>1520</v>
      </c>
    </row>
    <row r="45" spans="1:11" x14ac:dyDescent="0.3">
      <c r="A45" s="5" t="s">
        <v>395</v>
      </c>
      <c r="B45" s="350">
        <f>B40</f>
        <v>634</v>
      </c>
      <c r="C45" s="350">
        <f>C40</f>
        <v>885</v>
      </c>
      <c r="D45" s="350">
        <f>D40</f>
        <v>1078</v>
      </c>
      <c r="E45" s="350">
        <f>E40</f>
        <v>1347</v>
      </c>
      <c r="F45" s="350">
        <f>F40</f>
        <v>1807</v>
      </c>
      <c r="G45" s="350">
        <f>SUM(G43:G44)</f>
        <v>3327</v>
      </c>
      <c r="H45" s="350">
        <f>SUM(H43:H44)</f>
        <v>4847</v>
      </c>
      <c r="I45" s="350">
        <f>SUM(I43:I44)</f>
        <v>6367</v>
      </c>
      <c r="J45" s="350">
        <f>SUM(J43:J44)</f>
        <v>7887</v>
      </c>
      <c r="K45" s="350">
        <f>SUM(K43:K44)</f>
        <v>9407</v>
      </c>
    </row>
    <row r="47" spans="1:11" ht="31.2" customHeight="1" x14ac:dyDescent="0.3">
      <c r="A47" s="351" t="s">
        <v>396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f>7600/5</f>
        <v>1520</v>
      </c>
      <c r="H47" s="352">
        <f>7600/5</f>
        <v>1520</v>
      </c>
      <c r="I47" s="352">
        <f>7600/5</f>
        <v>1520</v>
      </c>
      <c r="J47" s="352">
        <f>7600/5</f>
        <v>1520</v>
      </c>
      <c r="K47" s="352">
        <f>7600/5</f>
        <v>1520</v>
      </c>
    </row>
    <row r="50" spans="1:11" x14ac:dyDescent="0.3">
      <c r="A50" s="4" t="str">
        <f>'04a_Projection_IS'!A72</f>
        <v>Income tax expense (benefit)</v>
      </c>
      <c r="B50" s="105">
        <f>'04a_Projection_IS'!B72</f>
        <v>77</v>
      </c>
      <c r="C50" s="105">
        <f>'04a_Projection_IS'!C72</f>
        <v>189</v>
      </c>
      <c r="D50" s="105">
        <f>'04a_Projection_IS'!D72</f>
        <v>-187</v>
      </c>
      <c r="E50" s="105">
        <f>'04a_Projection_IS'!E72</f>
        <v>4058</v>
      </c>
      <c r="F50" s="105">
        <f>'04a_Projection_IS'!F72</f>
        <v>11146</v>
      </c>
      <c r="G50" s="105">
        <f>'04a_Projection_IS'!G72</f>
        <v>21146.146584045015</v>
      </c>
      <c r="H50" s="105">
        <f>'04a_Projection_IS'!H72</f>
        <v>29251.444969722448</v>
      </c>
      <c r="I50" s="105">
        <f>'04a_Projection_IS'!I72</f>
        <v>38066.796405213281</v>
      </c>
      <c r="J50" s="105">
        <f>'04a_Projection_IS'!J72</f>
        <v>43803.347666050511</v>
      </c>
      <c r="K50" s="105">
        <f>'04a_Projection_IS'!K72</f>
        <v>54848.99310699958</v>
      </c>
    </row>
    <row r="51" spans="1:11" x14ac:dyDescent="0.3">
      <c r="A51" s="4" t="str">
        <f>A18</f>
        <v>Current Income Taxes Payable</v>
      </c>
      <c r="B51" s="4">
        <v>0</v>
      </c>
      <c r="C51" s="4">
        <f>C18</f>
        <v>132</v>
      </c>
      <c r="D51" s="4">
        <f>D18</f>
        <v>467</v>
      </c>
      <c r="E51" s="4">
        <f>E18</f>
        <v>296</v>
      </c>
      <c r="F51" s="4">
        <f>F18</f>
        <v>881</v>
      </c>
      <c r="G51" s="353">
        <f>G50*G52</f>
        <v>1671.4296734742202</v>
      </c>
      <c r="H51" s="353">
        <f>H50*H52</f>
        <v>2312.0871180984636</v>
      </c>
      <c r="I51" s="353">
        <f>I50*I52</f>
        <v>3008.8684400675493</v>
      </c>
      <c r="J51" s="353">
        <f>J50*J52</f>
        <v>3462.2958275426613</v>
      </c>
      <c r="K51" s="353">
        <f>K50*K52</f>
        <v>4335.3636216819159</v>
      </c>
    </row>
    <row r="52" spans="1:11" x14ac:dyDescent="0.3">
      <c r="B52" s="323">
        <f>B51/B50</f>
        <v>0</v>
      </c>
      <c r="C52" s="323">
        <f>C51/C50</f>
        <v>0.69841269841269837</v>
      </c>
      <c r="D52" s="323">
        <f>D51/D50</f>
        <v>-2.4973262032085564</v>
      </c>
      <c r="E52" s="323">
        <f>E51/E50</f>
        <v>7.2942336126170529E-2</v>
      </c>
      <c r="F52" s="323">
        <f>F51/F50</f>
        <v>7.9041808720617265E-2</v>
      </c>
      <c r="G52" s="354">
        <f>F52</f>
        <v>7.9041808720617265E-2</v>
      </c>
      <c r="H52" s="354">
        <f>G52</f>
        <v>7.9041808720617265E-2</v>
      </c>
      <c r="I52" s="354">
        <f>H52</f>
        <v>7.9041808720617265E-2</v>
      </c>
      <c r="J52" s="354">
        <f>I52</f>
        <v>7.9041808720617265E-2</v>
      </c>
      <c r="K52" s="354">
        <f>J52</f>
        <v>7.9041808720617265E-2</v>
      </c>
    </row>
    <row r="55" spans="1:11" x14ac:dyDescent="0.3">
      <c r="A55" s="4" t="str">
        <f t="shared" ref="A55:F55" si="3">A19</f>
        <v>Other Current Liabilities</v>
      </c>
      <c r="B55" s="105">
        <f t="shared" si="3"/>
        <v>1480</v>
      </c>
      <c r="C55" s="105">
        <f t="shared" si="3"/>
        <v>1867</v>
      </c>
      <c r="D55" s="105">
        <f t="shared" si="3"/>
        <v>2947</v>
      </c>
      <c r="E55" s="105">
        <f t="shared" si="3"/>
        <v>5483</v>
      </c>
      <c r="F55" s="105">
        <f t="shared" si="3"/>
        <v>9720</v>
      </c>
      <c r="G55" s="105">
        <f>G56*G57</f>
        <v>9366.8571849632081</v>
      </c>
      <c r="H55" s="105">
        <f>H56*H57</f>
        <v>13544.462191285667</v>
      </c>
      <c r="I55" s="105">
        <f>I56*I57</f>
        <v>17649.804820390975</v>
      </c>
      <c r="J55" s="105">
        <f>J56*J57</f>
        <v>21328.09519290481</v>
      </c>
      <c r="K55" s="105">
        <f>K56*K57</f>
        <v>24848.653175117648</v>
      </c>
    </row>
    <row r="56" spans="1:11" x14ac:dyDescent="0.3">
      <c r="A56" s="4" t="str">
        <f>'09_WorkingCapital'!A7</f>
        <v>Total operating expenses</v>
      </c>
      <c r="B56" s="105">
        <f>'09_WorkingCapital'!B7</f>
        <v>5864</v>
      </c>
      <c r="C56" s="105">
        <f>'09_WorkingCapital'!C7</f>
        <v>7434</v>
      </c>
      <c r="D56" s="105">
        <f>'09_WorkingCapital'!D7</f>
        <v>11132</v>
      </c>
      <c r="E56" s="105">
        <f>'09_WorkingCapital'!E7</f>
        <v>11329</v>
      </c>
      <c r="F56" s="105">
        <f>'09_WorkingCapital'!F7</f>
        <v>16405</v>
      </c>
      <c r="G56" s="105">
        <f>'09_WorkingCapital'!G7</f>
        <v>25387.9512</v>
      </c>
      <c r="H56" s="105">
        <f>'09_WorkingCapital'!H7</f>
        <v>34529.190461999999</v>
      </c>
      <c r="I56" s="105">
        <f>'09_WorkingCapital'!I7</f>
        <v>41974.895933424006</v>
      </c>
      <c r="J56" s="105">
        <f>'09_WorkingCapital'!J7</f>
        <v>47224.157280141597</v>
      </c>
      <c r="K56" s="105">
        <f>'09_WorkingCapital'!K7</f>
        <v>55818.785727764087</v>
      </c>
    </row>
    <row r="57" spans="1:11" x14ac:dyDescent="0.3">
      <c r="A57" s="4" t="s">
        <v>397</v>
      </c>
      <c r="B57" s="9">
        <f>B55/B56</f>
        <v>0.252387448840382</v>
      </c>
      <c r="C57" s="9">
        <f>C55/C56</f>
        <v>0.25114339521119183</v>
      </c>
      <c r="D57" s="9">
        <f>D55/D56</f>
        <v>0.2647323032698527</v>
      </c>
      <c r="E57" s="9">
        <f>E55/E56</f>
        <v>0.48397916850560507</v>
      </c>
      <c r="F57" s="9">
        <f>F55/F56</f>
        <v>0.59250228588844867</v>
      </c>
      <c r="G57" s="355">
        <f>AVERAGE(B57:F57)</f>
        <v>0.36894892034309601</v>
      </c>
      <c r="H57" s="355">
        <f>AVERAGE(C57:G57)</f>
        <v>0.39226121464363883</v>
      </c>
      <c r="I57" s="355">
        <f>AVERAGE(D57:H57)</f>
        <v>0.42048477853012828</v>
      </c>
      <c r="J57" s="355">
        <f>AVERAGE(E57:I57)</f>
        <v>0.45163527358218342</v>
      </c>
      <c r="K57" s="355">
        <f>AVERAGE(F57:J57)</f>
        <v>0.44516649459749902</v>
      </c>
    </row>
    <row r="60" spans="1:11" ht="21" customHeight="1" x14ac:dyDescent="0.4">
      <c r="A60" s="370" t="s">
        <v>398</v>
      </c>
    </row>
    <row r="62" spans="1:11" x14ac:dyDescent="0.3">
      <c r="B62" s="209" t="s">
        <v>388</v>
      </c>
      <c r="C62" s="209" t="s">
        <v>389</v>
      </c>
      <c r="D62" s="209" t="s">
        <v>390</v>
      </c>
      <c r="E62" s="3" t="s">
        <v>22</v>
      </c>
      <c r="F62" s="3" t="s">
        <v>23</v>
      </c>
      <c r="G62" s="3" t="s">
        <v>24</v>
      </c>
      <c r="H62" s="3" t="s">
        <v>25</v>
      </c>
      <c r="I62" s="3" t="s">
        <v>26</v>
      </c>
    </row>
    <row r="63" spans="1:11" x14ac:dyDescent="0.3">
      <c r="A63" s="5" t="s">
        <v>151</v>
      </c>
      <c r="B63" s="356">
        <f>'04a_Projection_IS'!E81</f>
        <v>26974</v>
      </c>
      <c r="C63" s="356">
        <f>'04a_Projection_IS'!F81</f>
        <v>60922</v>
      </c>
      <c r="D63" s="356">
        <f>'04a_Projection_IS'!G81</f>
        <v>130497</v>
      </c>
      <c r="E63" s="356">
        <f>'04a_Projection_IS'!H81</f>
        <v>211566.25999999998</v>
      </c>
      <c r="F63" s="356">
        <f>'04a_Projection_IS'!I81</f>
        <v>295121.28599999996</v>
      </c>
      <c r="G63" s="356">
        <f>'04a_Projection_IS'!J81</f>
        <v>371459.25604800001</v>
      </c>
      <c r="H63" s="356">
        <f>'04a_Projection_IS'!K81</f>
        <v>429310.52072855999</v>
      </c>
      <c r="I63" s="356">
        <f>'04a_Projection_IS'!L81</f>
        <v>521670.89465200074</v>
      </c>
    </row>
    <row r="64" spans="1:11" x14ac:dyDescent="0.3">
      <c r="A64" s="4" t="s">
        <v>399</v>
      </c>
      <c r="C64" s="9">
        <f t="shared" ref="C64:I64" si="4">(C63/B63)-1</f>
        <v>1.2585452658115224</v>
      </c>
      <c r="D64" s="9">
        <f t="shared" si="4"/>
        <v>1.1420340763599355</v>
      </c>
      <c r="E64" s="9">
        <f t="shared" si="4"/>
        <v>0.62123466439841524</v>
      </c>
      <c r="F64" s="9">
        <f t="shared" si="4"/>
        <v>0.39493549680369644</v>
      </c>
      <c r="G64" s="9">
        <f t="shared" si="4"/>
        <v>0.25866643196993944</v>
      </c>
      <c r="H64" s="9">
        <f t="shared" si="4"/>
        <v>0.1557405388037616</v>
      </c>
      <c r="I64" s="9">
        <f t="shared" si="4"/>
        <v>0.21513652581050402</v>
      </c>
    </row>
    <row r="65" spans="1:11" x14ac:dyDescent="0.3">
      <c r="A65" s="5" t="str">
        <f>'03_Historical_CF'!A6</f>
        <v>Stock-based compensation expense</v>
      </c>
      <c r="B65" s="356">
        <f>'03_Historical_CF'!B6</f>
        <v>2709</v>
      </c>
      <c r="C65" s="356">
        <f>'03_Historical_CF'!C6</f>
        <v>3549</v>
      </c>
      <c r="D65" s="356">
        <f>'03_Historical_CF'!D6</f>
        <v>4737</v>
      </c>
      <c r="E65" s="105">
        <f>E63*E66</f>
        <v>5077.5902399999995</v>
      </c>
      <c r="F65" s="105">
        <f>F63*F66</f>
        <v>5607.3044339999988</v>
      </c>
      <c r="G65" s="105">
        <f>G63*G66</f>
        <v>6314.8073528160003</v>
      </c>
      <c r="H65" s="105">
        <f>H63*H66</f>
        <v>6868.9683316569599</v>
      </c>
      <c r="I65" s="105">
        <f>I63*I66</f>
        <v>8346.734314432013</v>
      </c>
    </row>
    <row r="66" spans="1:11" x14ac:dyDescent="0.3">
      <c r="A66" s="5" t="s">
        <v>400</v>
      </c>
      <c r="B66" s="9">
        <f>B65/'04a_Projection_IS'!E81</f>
        <v>0.10043004374582931</v>
      </c>
      <c r="C66" s="9">
        <f>C65/'04a_Projection_IS'!F81</f>
        <v>5.8254817635665278E-2</v>
      </c>
      <c r="D66" s="9">
        <f>D65/'04a_Projection_IS'!G81</f>
        <v>3.629968505023104E-2</v>
      </c>
      <c r="E66" s="357">
        <f>B71</f>
        <v>2.4E-2</v>
      </c>
      <c r="F66" s="357">
        <f>C71</f>
        <v>1.9E-2</v>
      </c>
      <c r="G66" s="357">
        <f>D71</f>
        <v>1.7000000000000001E-2</v>
      </c>
      <c r="H66" s="357">
        <f>E71</f>
        <v>1.6E-2</v>
      </c>
      <c r="I66" s="357">
        <f>F71</f>
        <v>1.6E-2</v>
      </c>
    </row>
    <row r="67" spans="1:11" x14ac:dyDescent="0.3">
      <c r="A67" s="5" t="s">
        <v>399</v>
      </c>
      <c r="B67" s="4">
        <v>0</v>
      </c>
      <c r="C67" s="9">
        <f t="shared" ref="C67:I67" si="5">(C65/B65)-1</f>
        <v>0.31007751937984507</v>
      </c>
      <c r="D67" s="9">
        <f t="shared" si="5"/>
        <v>0.33474218089602714</v>
      </c>
      <c r="E67" s="9">
        <f t="shared" si="5"/>
        <v>7.1899987333755355E-2</v>
      </c>
      <c r="F67" s="9">
        <f t="shared" si="5"/>
        <v>0.1043239349695928</v>
      </c>
      <c r="G67" s="9">
        <f t="shared" si="5"/>
        <v>0.12617522860468289</v>
      </c>
      <c r="H67" s="9">
        <f t="shared" si="5"/>
        <v>8.775580122706983E-2</v>
      </c>
      <c r="I67" s="9">
        <f t="shared" si="5"/>
        <v>0.21513652581050424</v>
      </c>
    </row>
    <row r="69" spans="1:11" x14ac:dyDescent="0.3">
      <c r="A69" s="358" t="s">
        <v>401</v>
      </c>
      <c r="B69" s="358" t="str">
        <f>E62</f>
        <v>2026 F</v>
      </c>
      <c r="C69" s="358" t="str">
        <f>F62</f>
        <v>2027 F</v>
      </c>
      <c r="D69" s="358" t="str">
        <f>G62</f>
        <v>2028 F</v>
      </c>
      <c r="E69" s="358" t="str">
        <f>H62</f>
        <v>2029 F</v>
      </c>
      <c r="F69" s="358" t="str">
        <f>I62</f>
        <v>2030 F</v>
      </c>
    </row>
    <row r="70" spans="1:11" x14ac:dyDescent="0.3">
      <c r="A70" s="358" t="str">
        <f>A66</f>
        <v>SBC % of Revenue</v>
      </c>
      <c r="B70" s="359"/>
      <c r="C70" s="359"/>
      <c r="D70" s="359"/>
      <c r="E70" s="359"/>
      <c r="F70" s="359"/>
    </row>
    <row r="71" spans="1:11" x14ac:dyDescent="0.3">
      <c r="A71" s="358" t="s">
        <v>354</v>
      </c>
      <c r="B71" s="360">
        <v>2.4E-2</v>
      </c>
      <c r="C71" s="360">
        <v>1.9E-2</v>
      </c>
      <c r="D71" s="360">
        <v>1.7000000000000001E-2</v>
      </c>
      <c r="E71" s="360">
        <v>1.6E-2</v>
      </c>
      <c r="F71" s="360">
        <v>1.6E-2</v>
      </c>
    </row>
    <row r="72" spans="1:11" x14ac:dyDescent="0.3">
      <c r="A72" s="358" t="s">
        <v>355</v>
      </c>
      <c r="B72" s="360">
        <v>2.5000000000000001E-2</v>
      </c>
      <c r="C72" s="360">
        <v>2.1000000000000001E-2</v>
      </c>
      <c r="D72" s="360">
        <v>1.9E-2</v>
      </c>
      <c r="E72" s="360">
        <v>1.9E-2</v>
      </c>
      <c r="F72" s="360">
        <v>1.9E-2</v>
      </c>
    </row>
    <row r="73" spans="1:11" x14ac:dyDescent="0.3">
      <c r="A73" s="358" t="s">
        <v>356</v>
      </c>
      <c r="B73" s="360">
        <v>2.3E-2</v>
      </c>
      <c r="C73" s="360">
        <v>1.7999999999999999E-2</v>
      </c>
      <c r="D73" s="360">
        <v>1.4999999999999999E-2</v>
      </c>
      <c r="E73" s="360">
        <v>1.4E-2</v>
      </c>
      <c r="F73" s="360">
        <v>1.2999999999999999E-2</v>
      </c>
    </row>
    <row r="76" spans="1:11" x14ac:dyDescent="0.3">
      <c r="B76" s="5" t="str">
        <f>B2</f>
        <v>2021</v>
      </c>
      <c r="C76" s="5" t="str">
        <f>C2</f>
        <v>2022</v>
      </c>
      <c r="D76" s="5" t="str">
        <f t="shared" ref="D76:K76" si="6">B62</f>
        <v>2023 A</v>
      </c>
      <c r="E76" s="5" t="str">
        <f t="shared" si="6"/>
        <v>2024 A</v>
      </c>
      <c r="F76" s="5" t="str">
        <f t="shared" si="6"/>
        <v>2025 A</v>
      </c>
      <c r="G76" s="5" t="str">
        <f t="shared" si="6"/>
        <v>2026 F</v>
      </c>
      <c r="H76" s="5" t="str">
        <f t="shared" si="6"/>
        <v>2027 F</v>
      </c>
      <c r="I76" s="5" t="str">
        <f t="shared" si="6"/>
        <v>2028 F</v>
      </c>
      <c r="J76" s="5" t="str">
        <f t="shared" si="6"/>
        <v>2029 F</v>
      </c>
      <c r="K76" s="5" t="str">
        <f t="shared" si="6"/>
        <v>2030 F</v>
      </c>
    </row>
    <row r="77" spans="1:11" x14ac:dyDescent="0.3">
      <c r="A77" s="361" t="s">
        <v>402</v>
      </c>
      <c r="B77" s="361"/>
      <c r="C77" s="105"/>
      <c r="D77" s="105"/>
      <c r="E77" s="105"/>
      <c r="F77" s="105"/>
      <c r="G77" s="105">
        <f>F80</f>
        <v>68038</v>
      </c>
      <c r="H77" s="105">
        <f>G80</f>
        <v>186667.88233649256</v>
      </c>
      <c r="I77" s="105">
        <f>H80</f>
        <v>357598.19668180757</v>
      </c>
      <c r="J77" s="105">
        <f>I80</f>
        <v>580040.86515159544</v>
      </c>
      <c r="K77" s="105">
        <f>J80</f>
        <v>846965.95058631699</v>
      </c>
    </row>
    <row r="78" spans="1:11" x14ac:dyDescent="0.3">
      <c r="A78" s="362" t="s">
        <v>403</v>
      </c>
      <c r="B78" s="362"/>
      <c r="C78" s="105"/>
      <c r="D78" s="105"/>
      <c r="E78" s="105"/>
      <c r="F78" s="105"/>
      <c r="G78" s="105">
        <f>'04a_Projection_IS'!H97</f>
        <v>119828.16397625509</v>
      </c>
      <c r="H78" s="105">
        <f>'04a_Projection_IS'!I97</f>
        <v>172482.65826974274</v>
      </c>
      <c r="I78" s="105">
        <f>'04a_Projection_IS'!J97</f>
        <v>224462.83397556798</v>
      </c>
      <c r="J78" s="105">
        <f>'04a_Projection_IS'!K97</f>
        <v>269077.70709145314</v>
      </c>
      <c r="K78" s="105">
        <f>'04a_Projection_IS'!L97</f>
        <v>336929.52908585453</v>
      </c>
    </row>
    <row r="79" spans="1:11" x14ac:dyDescent="0.3">
      <c r="A79" s="363" t="s">
        <v>404</v>
      </c>
      <c r="B79" s="363">
        <v>395</v>
      </c>
      <c r="C79" s="364">
        <v>399</v>
      </c>
      <c r="D79" s="364">
        <f>-'03_Historical_CF'!B35</f>
        <v>398</v>
      </c>
      <c r="E79" s="364">
        <f>-'03_Historical_CF'!C35</f>
        <v>395</v>
      </c>
      <c r="F79" s="364">
        <f>-'03_Historical_CF'!D35</f>
        <v>834</v>
      </c>
      <c r="G79" s="364">
        <f>G78*G82</f>
        <v>1198.2816397625509</v>
      </c>
      <c r="H79" s="364">
        <f>H78*H82</f>
        <v>1552.3439244276844</v>
      </c>
      <c r="I79" s="364">
        <f>I78*I82</f>
        <v>2020.1655057801117</v>
      </c>
      <c r="J79" s="364">
        <f>J78*J82</f>
        <v>2152.6216567316251</v>
      </c>
      <c r="K79" s="364">
        <f>K78*K82</f>
        <v>2695.4362326868363</v>
      </c>
    </row>
    <row r="80" spans="1:11" x14ac:dyDescent="0.3">
      <c r="A80" s="361" t="s">
        <v>405</v>
      </c>
      <c r="B80" s="361">
        <f>B27</f>
        <v>18908</v>
      </c>
      <c r="C80" s="361">
        <f>C27</f>
        <v>16235</v>
      </c>
      <c r="D80" s="361">
        <f>D27</f>
        <v>10171</v>
      </c>
      <c r="E80" s="361">
        <f>E27</f>
        <v>29817</v>
      </c>
      <c r="F80" s="361">
        <f>F27</f>
        <v>68038</v>
      </c>
      <c r="G80" s="350">
        <f>(G77+G78)-G79</f>
        <v>186667.88233649256</v>
      </c>
      <c r="H80" s="350">
        <f>(H77+H78)-H79</f>
        <v>357598.19668180757</v>
      </c>
      <c r="I80" s="350">
        <f>(I77+I78)-I79</f>
        <v>580040.86515159544</v>
      </c>
      <c r="J80" s="350">
        <f>(J77+J78)-J79</f>
        <v>846965.95058631699</v>
      </c>
      <c r="K80" s="350">
        <f>(K77+K78)-K79</f>
        <v>1181200.0434394849</v>
      </c>
    </row>
    <row r="81" spans="1:11" x14ac:dyDescent="0.3">
      <c r="A81" s="362"/>
      <c r="B81" s="362"/>
    </row>
    <row r="82" spans="1:11" x14ac:dyDescent="0.3">
      <c r="A82" s="362" t="s">
        <v>406</v>
      </c>
      <c r="B82" s="365">
        <f>B79/'04a_Projection_IS'!C97</f>
        <v>9.1181902123730382E-2</v>
      </c>
      <c r="C82" s="365">
        <f>C79/'04a_Projection_IS'!D97</f>
        <v>4.0914684167350286E-2</v>
      </c>
      <c r="D82" s="365">
        <f>D79/'04a_Projection_IS'!E97</f>
        <v>9.1117216117216113E-2</v>
      </c>
      <c r="E82" s="365">
        <f>E79/'04a_Projection_IS'!F97</f>
        <v>1.3272849462365592E-2</v>
      </c>
      <c r="F82" s="365">
        <f>F79/'04a_Projection_IS'!G97</f>
        <v>1.1443468715697036E-2</v>
      </c>
      <c r="G82" s="365">
        <f>B87</f>
        <v>0.01</v>
      </c>
      <c r="H82" s="365">
        <f>C87</f>
        <v>8.9999999999999993E-3</v>
      </c>
      <c r="I82" s="365">
        <f>D87</f>
        <v>8.9999999999999993E-3</v>
      </c>
      <c r="J82" s="365">
        <f>E87</f>
        <v>8.0000000000000002E-3</v>
      </c>
      <c r="K82" s="365">
        <f>F87</f>
        <v>8.0000000000000002E-3</v>
      </c>
    </row>
    <row r="84" spans="1:11" x14ac:dyDescent="0.3">
      <c r="C84" s="366"/>
      <c r="D84" s="366"/>
      <c r="E84" s="366"/>
      <c r="F84" s="366"/>
    </row>
    <row r="85" spans="1:11" x14ac:dyDescent="0.3">
      <c r="A85" s="358" t="s">
        <v>401</v>
      </c>
      <c r="B85" s="358" t="str">
        <f>B69</f>
        <v>2026 F</v>
      </c>
      <c r="C85" s="358" t="str">
        <f>C69</f>
        <v>2027 F</v>
      </c>
      <c r="D85" s="358" t="str">
        <f>D69</f>
        <v>2028 F</v>
      </c>
      <c r="E85" s="358" t="str">
        <f>E69</f>
        <v>2029 F</v>
      </c>
      <c r="F85" s="358" t="str">
        <f>F69</f>
        <v>2030 F</v>
      </c>
    </row>
    <row r="86" spans="1:11" x14ac:dyDescent="0.3">
      <c r="A86" s="358" t="str">
        <f>A82</f>
        <v>Dividend Payout Ratio, %</v>
      </c>
      <c r="B86" s="359"/>
      <c r="C86" s="359"/>
      <c r="D86" s="359"/>
      <c r="E86" s="359"/>
      <c r="F86" s="359"/>
    </row>
    <row r="87" spans="1:11" x14ac:dyDescent="0.3">
      <c r="A87" s="358" t="s">
        <v>354</v>
      </c>
      <c r="B87" s="367">
        <v>0.01</v>
      </c>
      <c r="C87" s="360">
        <v>8.9999999999999993E-3</v>
      </c>
      <c r="D87" s="360">
        <v>8.9999999999999993E-3</v>
      </c>
      <c r="E87" s="360">
        <v>8.0000000000000002E-3</v>
      </c>
      <c r="F87" s="360">
        <v>8.0000000000000002E-3</v>
      </c>
    </row>
    <row r="88" spans="1:11" x14ac:dyDescent="0.3">
      <c r="A88" s="358" t="s">
        <v>355</v>
      </c>
      <c r="B88" s="360">
        <v>1.2E-2</v>
      </c>
      <c r="C88" s="360">
        <v>1.4999999999999999E-2</v>
      </c>
      <c r="D88" s="360">
        <v>0.02</v>
      </c>
      <c r="E88" s="360">
        <v>2.5000000000000001E-2</v>
      </c>
      <c r="F88" s="360">
        <v>0.03</v>
      </c>
    </row>
    <row r="89" spans="1:11" x14ac:dyDescent="0.3">
      <c r="A89" s="358" t="s">
        <v>356</v>
      </c>
      <c r="B89" s="360">
        <v>8.9999999999999993E-3</v>
      </c>
      <c r="C89" s="360">
        <v>8.0000000000000002E-3</v>
      </c>
      <c r="D89" s="360">
        <v>7.0000000000000001E-3</v>
      </c>
      <c r="E89" s="360">
        <v>6.0000000000000001E-3</v>
      </c>
      <c r="F89" s="360">
        <v>6.0000000000000001E-3</v>
      </c>
    </row>
  </sheetData>
  <mergeCells count="3">
    <mergeCell ref="G1:K1"/>
    <mergeCell ref="B1:F1"/>
    <mergeCell ref="A36:K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"/>
  <sheetViews>
    <sheetView showGridLines="0" topLeftCell="A10" zoomScale="60" workbookViewId="0">
      <selection activeCell="A48" sqref="A48"/>
    </sheetView>
  </sheetViews>
  <sheetFormatPr defaultRowHeight="14.4" x14ac:dyDescent="0.3"/>
  <cols>
    <col min="1" max="1" width="76.109375" customWidth="1"/>
    <col min="2" max="2" width="11" customWidth="1"/>
    <col min="3" max="3" width="10.21875" customWidth="1"/>
    <col min="4" max="4" width="11.109375" customWidth="1"/>
    <col min="5" max="9" width="11.88671875" bestFit="1" customWidth="1"/>
  </cols>
  <sheetData>
    <row r="1" spans="1:9" ht="21" customHeight="1" x14ac:dyDescent="0.4">
      <c r="A1" s="73" t="s">
        <v>239</v>
      </c>
      <c r="B1" s="75"/>
      <c r="C1" s="75"/>
      <c r="D1" s="75"/>
      <c r="E1" s="75"/>
      <c r="F1" s="75"/>
      <c r="G1" s="75"/>
      <c r="H1" s="75"/>
      <c r="I1" s="75"/>
    </row>
    <row r="2" spans="1:9" ht="15.6" customHeight="1" x14ac:dyDescent="0.3">
      <c r="A2" s="76"/>
      <c r="B2" s="104" t="s">
        <v>190</v>
      </c>
      <c r="C2" s="104" t="s">
        <v>191</v>
      </c>
      <c r="D2" s="104" t="s">
        <v>192</v>
      </c>
      <c r="E2" s="104" t="s">
        <v>6</v>
      </c>
      <c r="F2" s="104" t="s">
        <v>7</v>
      </c>
      <c r="G2" s="104" t="s">
        <v>8</v>
      </c>
      <c r="H2" s="104" t="s">
        <v>9</v>
      </c>
      <c r="I2" s="104" t="s">
        <v>10</v>
      </c>
    </row>
    <row r="3" spans="1:9" ht="17.399999999999999" customHeight="1" x14ac:dyDescent="0.35">
      <c r="A3" s="78" t="s">
        <v>241</v>
      </c>
      <c r="B3" s="79"/>
      <c r="C3" s="79"/>
      <c r="D3" s="79"/>
      <c r="E3" s="79"/>
      <c r="F3" s="79"/>
      <c r="G3" s="79"/>
      <c r="H3" s="79"/>
      <c r="I3" s="79"/>
    </row>
    <row r="4" spans="1:9" ht="15.6" customHeight="1" x14ac:dyDescent="0.3">
      <c r="A4" s="42" t="s">
        <v>170</v>
      </c>
      <c r="B4" s="215">
        <v>4368</v>
      </c>
      <c r="C4" s="215">
        <v>29760</v>
      </c>
      <c r="D4" s="215">
        <v>72880</v>
      </c>
      <c r="E4" s="33">
        <f>'04a_Projection_IS'!H97</f>
        <v>119828.16397625509</v>
      </c>
      <c r="F4" s="33">
        <f>'04a_Projection_IS'!I97</f>
        <v>172482.65826974274</v>
      </c>
      <c r="G4" s="33">
        <f>'04a_Projection_IS'!J97</f>
        <v>224462.83397556798</v>
      </c>
      <c r="H4" s="33">
        <f>'04a_Projection_IS'!K97</f>
        <v>269077.70709145314</v>
      </c>
      <c r="I4" s="33">
        <f>'04a_Projection_IS'!L97</f>
        <v>336929.52908585453</v>
      </c>
    </row>
    <row r="5" spans="1:9" ht="31.2" customHeight="1" x14ac:dyDescent="0.3">
      <c r="A5" s="111" t="s">
        <v>243</v>
      </c>
      <c r="B5" s="216"/>
      <c r="C5" s="216"/>
      <c r="D5" s="216"/>
      <c r="E5" s="33"/>
      <c r="F5" s="33"/>
      <c r="G5" s="33"/>
      <c r="H5" s="33"/>
      <c r="I5" s="33"/>
    </row>
    <row r="6" spans="1:9" ht="15.6" customHeight="1" x14ac:dyDescent="0.3">
      <c r="A6" s="42" t="s">
        <v>244</v>
      </c>
      <c r="B6" s="215">
        <v>2709</v>
      </c>
      <c r="C6" s="215">
        <v>3549</v>
      </c>
      <c r="D6" s="215">
        <v>4737</v>
      </c>
      <c r="E6" s="33">
        <f>'04b_Projection_BS'!E65</f>
        <v>5077.5902399999995</v>
      </c>
      <c r="F6" s="33">
        <f>'04b_Projection_BS'!F65</f>
        <v>5607.3044339999988</v>
      </c>
      <c r="G6" s="33">
        <f>'04b_Projection_BS'!G65</f>
        <v>6314.8073528160003</v>
      </c>
      <c r="H6" s="33">
        <f>'04b_Projection_BS'!H65</f>
        <v>6868.9683316569599</v>
      </c>
      <c r="I6" s="33">
        <f>'04b_Projection_BS'!I65</f>
        <v>8346.734314432013</v>
      </c>
    </row>
    <row r="7" spans="1:9" ht="15.6" customHeight="1" x14ac:dyDescent="0.3">
      <c r="A7" s="41" t="s">
        <v>245</v>
      </c>
      <c r="B7" s="216">
        <v>1544</v>
      </c>
      <c r="C7" s="216">
        <v>1508</v>
      </c>
      <c r="D7" s="216">
        <v>1864</v>
      </c>
      <c r="E7" s="33">
        <f>'11_DA'!B19</f>
        <v>3046.1975599999996</v>
      </c>
      <c r="F7" s="33">
        <f>'11_DA'!C19</f>
        <v>4816.9737903999994</v>
      </c>
      <c r="G7" s="33">
        <f>'11_DA'!D19</f>
        <v>6921.4048803167998</v>
      </c>
      <c r="H7" s="33">
        <f>'11_DA'!E19</f>
        <v>9077.6680046881593</v>
      </c>
      <c r="I7" s="33">
        <f>'11_DA'!F19</f>
        <v>11117.025014739364</v>
      </c>
    </row>
    <row r="8" spans="1:9" ht="15.6" customHeight="1" x14ac:dyDescent="0.3">
      <c r="A8" s="42" t="s">
        <v>246</v>
      </c>
      <c r="B8" s="215">
        <v>-2164</v>
      </c>
      <c r="C8" s="215">
        <v>-2489</v>
      </c>
      <c r="D8" s="215">
        <v>-4477</v>
      </c>
      <c r="E8" s="83">
        <v>-4477</v>
      </c>
      <c r="F8" s="83">
        <v>-4477</v>
      </c>
      <c r="G8" s="83">
        <v>-4477</v>
      </c>
      <c r="H8" s="83">
        <v>-4477</v>
      </c>
      <c r="I8" s="83">
        <v>-4477</v>
      </c>
    </row>
    <row r="9" spans="1:9" ht="15.6" customHeight="1" x14ac:dyDescent="0.3">
      <c r="A9" s="41" t="s">
        <v>247</v>
      </c>
      <c r="B9" s="216">
        <v>45</v>
      </c>
      <c r="C9" s="216">
        <v>-238</v>
      </c>
      <c r="D9" s="216">
        <v>-1030</v>
      </c>
      <c r="E9" s="85">
        <v>-1030</v>
      </c>
      <c r="F9" s="85">
        <v>-1030</v>
      </c>
      <c r="G9" s="85">
        <v>-1030</v>
      </c>
      <c r="H9" s="85">
        <v>-1030</v>
      </c>
      <c r="I9" s="85">
        <v>-1030</v>
      </c>
    </row>
    <row r="10" spans="1:9" ht="15.6" customHeight="1" x14ac:dyDescent="0.3">
      <c r="A10" s="42" t="s">
        <v>158</v>
      </c>
      <c r="B10" s="215">
        <v>1353</v>
      </c>
      <c r="C10" s="217">
        <v>0</v>
      </c>
      <c r="D10" s="217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</row>
    <row r="11" spans="1:9" ht="15.6" customHeight="1" x14ac:dyDescent="0.3">
      <c r="A11" s="41" t="s">
        <v>183</v>
      </c>
      <c r="B11" s="216">
        <v>-7</v>
      </c>
      <c r="C11" s="216">
        <v>-278</v>
      </c>
      <c r="D11" s="216">
        <v>-502</v>
      </c>
      <c r="E11" s="85">
        <v>-502</v>
      </c>
      <c r="F11" s="85">
        <v>-502</v>
      </c>
      <c r="G11" s="85">
        <v>-502</v>
      </c>
      <c r="H11" s="85">
        <v>-502</v>
      </c>
      <c r="I11" s="85">
        <v>-502</v>
      </c>
    </row>
    <row r="12" spans="1:9" ht="15.6" customHeight="1" x14ac:dyDescent="0.3">
      <c r="A12" s="43" t="s">
        <v>248</v>
      </c>
      <c r="B12" s="215"/>
      <c r="C12" s="215"/>
      <c r="D12" s="215"/>
      <c r="E12" s="33"/>
      <c r="F12" s="33"/>
      <c r="G12" s="33"/>
      <c r="H12" s="33"/>
      <c r="I12" s="33"/>
    </row>
    <row r="13" spans="1:9" ht="15.6" customHeight="1" x14ac:dyDescent="0.3">
      <c r="A13" s="41" t="s">
        <v>249</v>
      </c>
      <c r="B13" s="216">
        <v>822</v>
      </c>
      <c r="C13" s="216">
        <v>-6172</v>
      </c>
      <c r="D13" s="216">
        <v>-13063</v>
      </c>
      <c r="E13" s="33">
        <f>-('09_WorkingCapital'!G9-'09_WorkingCapital'!F9)</f>
        <v>-13749.143945308344</v>
      </c>
      <c r="F13" s="33">
        <f>-('09_WorkingCapital'!H9-'09_WorkingCapital'!G9)</f>
        <v>-13730.660759949998</v>
      </c>
      <c r="G13" s="33">
        <f>-('09_WorkingCapital'!I9-'09_WorkingCapital'!H9)</f>
        <v>-12056.547695814246</v>
      </c>
      <c r="H13" s="33">
        <f>-('09_WorkingCapital'!J9-'09_WorkingCapital'!I9)</f>
        <v>-8573.3751453117075</v>
      </c>
      <c r="I13" s="33">
        <f>-('09_WorkingCapital'!K9-'09_WorkingCapital'!J9)</f>
        <v>-13883.048282024596</v>
      </c>
    </row>
    <row r="14" spans="1:9" ht="15.6" customHeight="1" x14ac:dyDescent="0.3">
      <c r="A14" s="42" t="s">
        <v>250</v>
      </c>
      <c r="B14" s="215">
        <v>-2554</v>
      </c>
      <c r="C14" s="215">
        <v>-98</v>
      </c>
      <c r="D14" s="215">
        <v>-4781</v>
      </c>
      <c r="E14" s="33">
        <f>-('09_WorkingCapital'!G10-'09_WorkingCapital'!F10)</f>
        <v>-4591.9365239533854</v>
      </c>
      <c r="F14" s="33">
        <f>-('09_WorkingCapital'!H10-'09_WorkingCapital'!G10)</f>
        <v>-3166.2193170463379</v>
      </c>
      <c r="G14" s="33">
        <f>-('09_WorkingCapital'!I10-'09_WorkingCapital'!H10)</f>
        <v>-1509.5823707135751</v>
      </c>
      <c r="H14" s="33">
        <f>-('09_WorkingCapital'!J10-'09_WorkingCapital'!I10)</f>
        <v>339.58818974908718</v>
      </c>
      <c r="I14" s="33">
        <f>-('09_WorkingCapital'!K10-'09_WorkingCapital'!J10)</f>
        <v>-301.06601091533594</v>
      </c>
    </row>
    <row r="15" spans="1:9" ht="15.6" customHeight="1" x14ac:dyDescent="0.3">
      <c r="A15" s="41" t="s">
        <v>251</v>
      </c>
      <c r="B15" s="216">
        <v>-1517</v>
      </c>
      <c r="C15" s="216">
        <v>-1522</v>
      </c>
      <c r="D15" s="216">
        <v>-395</v>
      </c>
      <c r="E15" s="33">
        <f>-('09_WorkingCapital'!G11-'09_WorkingCapital'!F11)</f>
        <v>-1303.2629559353854</v>
      </c>
      <c r="F15" s="33">
        <f>-('09_WorkingCapital'!H11-'09_WorkingCapital'!G11)</f>
        <v>-791.17410962117629</v>
      </c>
      <c r="G15" s="33">
        <f>-('09_WorkingCapital'!I11-'09_WorkingCapital'!H11)</f>
        <v>-5.547235817291039</v>
      </c>
      <c r="H15" s="33">
        <f>-('09_WorkingCapital'!J11-'09_WorkingCapital'!I11)</f>
        <v>204.08542775686146</v>
      </c>
      <c r="I15" s="33">
        <f>-('09_WorkingCapital'!K11-'09_WorkingCapital'!J11)</f>
        <v>85.020300840582422</v>
      </c>
    </row>
    <row r="16" spans="1:9" ht="15.6" customHeight="1" x14ac:dyDescent="0.3">
      <c r="A16" s="42" t="s">
        <v>252</v>
      </c>
      <c r="B16" s="215">
        <v>-551</v>
      </c>
      <c r="C16" s="215">
        <v>1531</v>
      </c>
      <c r="D16" s="215">
        <v>3357</v>
      </c>
      <c r="E16" s="33">
        <f>'09_WorkingCapital'!G14-'09_WorkingCapital'!F14</f>
        <v>2968.5800781936632</v>
      </c>
      <c r="F16" s="33">
        <f>'09_WorkingCapital'!H14-'09_WorkingCapital'!G14</f>
        <v>2369.6261980285417</v>
      </c>
      <c r="G16" s="33">
        <f>'09_WorkingCapital'!I14-'09_WorkingCapital'!H14</f>
        <v>1423.9683553017876</v>
      </c>
      <c r="H16" s="33">
        <f>'09_WorkingCapital'!J14-'09_WorkingCapital'!I14</f>
        <v>246.40701001214802</v>
      </c>
      <c r="I16" s="33">
        <f>'09_WorkingCapital'!K14-'09_WorkingCapital'!J14</f>
        <v>748.04396846714735</v>
      </c>
    </row>
    <row r="17" spans="1:9" ht="15.6" customHeight="1" x14ac:dyDescent="0.3">
      <c r="A17" s="41" t="s">
        <v>253</v>
      </c>
      <c r="B17" s="216">
        <v>1341</v>
      </c>
      <c r="C17" s="216">
        <v>2025</v>
      </c>
      <c r="D17" s="216">
        <v>4278</v>
      </c>
      <c r="E17" s="33">
        <f>'09_WorkingCapital'!G15-'09_WorkingCapital'!F15</f>
        <v>5989.618691950629</v>
      </c>
      <c r="F17" s="33">
        <f>'09_WorkingCapital'!H15-'09_WorkingCapital'!G15</f>
        <v>5376.446233448507</v>
      </c>
      <c r="G17" s="33">
        <f>'09_WorkingCapital'!I15-'09_WorkingCapital'!H15</f>
        <v>3842.4824595471546</v>
      </c>
      <c r="H17" s="33">
        <f>'09_WorkingCapital'!J15-'09_WorkingCapital'!I15</f>
        <v>1833.4767061087587</v>
      </c>
      <c r="I17" s="33">
        <f>'09_WorkingCapital'!K15-'09_WorkingCapital'!J15</f>
        <v>3320.006248763435</v>
      </c>
    </row>
    <row r="18" spans="1:9" ht="15.6" customHeight="1" x14ac:dyDescent="0.3">
      <c r="A18" s="42" t="s">
        <v>254</v>
      </c>
      <c r="B18" s="215">
        <v>252</v>
      </c>
      <c r="C18" s="215">
        <v>514</v>
      </c>
      <c r="D18" s="215">
        <v>1221</v>
      </c>
      <c r="E18" s="33">
        <f>'04b_Projection_BS'!G23-'04b_Projection_BS'!F23</f>
        <v>0</v>
      </c>
      <c r="F18" s="33">
        <f>'04b_Projection_BS'!H23-'04b_Projection_BS'!G23</f>
        <v>0</v>
      </c>
      <c r="G18" s="33">
        <f>'04b_Projection_BS'!I23-'04b_Projection_BS'!H23</f>
        <v>0</v>
      </c>
      <c r="H18" s="33">
        <f>'04b_Projection_BS'!J23-'04b_Projection_BS'!I23</f>
        <v>0</v>
      </c>
      <c r="I18" s="33">
        <f>'04b_Projection_BS'!K23-'04b_Projection_BS'!J23</f>
        <v>0</v>
      </c>
    </row>
    <row r="19" spans="1:9" ht="15.6" customHeight="1" x14ac:dyDescent="0.3">
      <c r="A19" s="46" t="s">
        <v>255</v>
      </c>
      <c r="B19" s="82">
        <v>5641</v>
      </c>
      <c r="C19" s="82">
        <v>28090</v>
      </c>
      <c r="D19" s="82">
        <v>64089</v>
      </c>
      <c r="E19" s="82">
        <f>SUM(E4:E18)</f>
        <v>111256.80712120229</v>
      </c>
      <c r="F19" s="82">
        <f>SUM(F4:F18)</f>
        <v>166955.95473900225</v>
      </c>
      <c r="G19" s="82">
        <f>SUM(G4:G18)</f>
        <v>223384.81972120458</v>
      </c>
      <c r="H19" s="82">
        <f>SUM(H4:H18)</f>
        <v>273065.52561611345</v>
      </c>
      <c r="I19" s="82">
        <f>SUM(I4:I18)</f>
        <v>340353.24464015721</v>
      </c>
    </row>
    <row r="20" spans="1:9" ht="18" customHeight="1" x14ac:dyDescent="0.35">
      <c r="A20" s="80" t="s">
        <v>256</v>
      </c>
      <c r="B20" s="81"/>
      <c r="C20" s="81"/>
      <c r="D20" s="81"/>
      <c r="E20" s="81"/>
      <c r="F20" s="81"/>
      <c r="G20" s="81"/>
      <c r="H20" s="81"/>
      <c r="I20" s="81"/>
    </row>
    <row r="21" spans="1:9" ht="15.6" customHeight="1" x14ac:dyDescent="0.3">
      <c r="A21" s="41" t="s">
        <v>257</v>
      </c>
      <c r="B21" s="216">
        <v>19425</v>
      </c>
      <c r="C21" s="216">
        <v>9732</v>
      </c>
      <c r="D21" s="216">
        <v>11195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</row>
    <row r="22" spans="1:9" ht="15.6" customHeight="1" x14ac:dyDescent="0.3">
      <c r="A22" s="42" t="s">
        <v>258</v>
      </c>
      <c r="B22" s="215">
        <v>1806</v>
      </c>
      <c r="C22" s="215">
        <v>50</v>
      </c>
      <c r="D22" s="215">
        <v>495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</row>
    <row r="23" spans="1:9" ht="15.6" customHeight="1" x14ac:dyDescent="0.3">
      <c r="A23" s="41" t="s">
        <v>259</v>
      </c>
      <c r="B23" s="216">
        <v>8</v>
      </c>
      <c r="C23" s="216">
        <v>1</v>
      </c>
      <c r="D23" s="216">
        <v>171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</row>
    <row r="24" spans="1:9" ht="15.6" customHeight="1" x14ac:dyDescent="0.3">
      <c r="A24" s="43" t="s">
        <v>260</v>
      </c>
      <c r="B24" s="218">
        <v>-11897</v>
      </c>
      <c r="C24" s="218">
        <v>-18211</v>
      </c>
      <c r="D24" s="218">
        <v>-26575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</row>
    <row r="25" spans="1:9" ht="31.2" customHeight="1" x14ac:dyDescent="0.3">
      <c r="A25" s="111" t="s">
        <v>261</v>
      </c>
      <c r="B25" s="219">
        <v>-1833</v>
      </c>
      <c r="C25" s="219">
        <v>-1069</v>
      </c>
      <c r="D25" s="219">
        <v>-3236</v>
      </c>
      <c r="E25" s="214">
        <f>-'12_FixedAssets'!I6</f>
        <v>-6346.987799999999</v>
      </c>
      <c r="F25" s="214">
        <f>-'12_FixedAssets'!J6</f>
        <v>-9443.8811519999999</v>
      </c>
      <c r="G25" s="214">
        <f>-'12_FixedAssets'!K6</f>
        <v>-12258.155449584001</v>
      </c>
      <c r="H25" s="214">
        <f>-'12_FixedAssets'!L6</f>
        <v>-12879.315621856798</v>
      </c>
      <c r="I25" s="214">
        <f>-'12_FixedAssets'!M6</f>
        <v>-14606.785050256021</v>
      </c>
    </row>
    <row r="26" spans="1:9" ht="15.6" customHeight="1" x14ac:dyDescent="0.3">
      <c r="A26" s="42" t="s">
        <v>263</v>
      </c>
      <c r="B26" s="215">
        <v>-85</v>
      </c>
      <c r="C26" s="215">
        <v>-862</v>
      </c>
      <c r="D26" s="215">
        <v>-1486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</row>
    <row r="27" spans="1:9" ht="15.6" customHeight="1" x14ac:dyDescent="0.3">
      <c r="A27" s="41" t="s">
        <v>264</v>
      </c>
      <c r="B27" s="216">
        <v>-49</v>
      </c>
      <c r="C27" s="216">
        <v>-83</v>
      </c>
      <c r="D27" s="216">
        <v>-1007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</row>
    <row r="28" spans="1:9" ht="15.6" customHeight="1" x14ac:dyDescent="0.3">
      <c r="A28" s="42" t="s">
        <v>183</v>
      </c>
      <c r="B28" s="215">
        <v>0</v>
      </c>
      <c r="C28" s="215">
        <v>-124</v>
      </c>
      <c r="D28" s="215">
        <v>22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</row>
    <row r="29" spans="1:9" ht="15.6" customHeight="1" x14ac:dyDescent="0.3">
      <c r="A29" s="46" t="s">
        <v>265</v>
      </c>
      <c r="B29" s="82">
        <v>7375</v>
      </c>
      <c r="C29" s="82">
        <v>-10566</v>
      </c>
      <c r="D29" s="82">
        <v>-20421</v>
      </c>
      <c r="E29" s="82">
        <f>SUM(E21:E28)</f>
        <v>-6346.987799999999</v>
      </c>
      <c r="F29" s="82">
        <f>SUM(F21:F28)</f>
        <v>-9443.8811519999999</v>
      </c>
      <c r="G29" s="82">
        <f>SUM(G21:G28)</f>
        <v>-12258.155449584001</v>
      </c>
      <c r="H29" s="82">
        <f>SUM(H21:H28)</f>
        <v>-12879.315621856798</v>
      </c>
      <c r="I29" s="82">
        <f>SUM(I21:I28)</f>
        <v>-14606.785050256021</v>
      </c>
    </row>
    <row r="30" spans="1:9" ht="18" customHeight="1" x14ac:dyDescent="0.35">
      <c r="A30" s="80" t="s">
        <v>266</v>
      </c>
      <c r="B30" s="81"/>
      <c r="C30" s="81"/>
      <c r="D30" s="81"/>
      <c r="E30" s="81"/>
      <c r="F30" s="81"/>
      <c r="G30" s="81"/>
      <c r="H30" s="81"/>
      <c r="I30" s="81"/>
    </row>
    <row r="31" spans="1:9" ht="15.6" customHeight="1" x14ac:dyDescent="0.3">
      <c r="A31" s="41" t="s">
        <v>267</v>
      </c>
      <c r="B31" s="216">
        <v>355</v>
      </c>
      <c r="C31" s="216">
        <v>403</v>
      </c>
      <c r="D31" s="216">
        <v>490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</row>
    <row r="32" spans="1:9" ht="15.6" customHeight="1" x14ac:dyDescent="0.3">
      <c r="A32" s="114" t="s">
        <v>268</v>
      </c>
      <c r="B32" s="215">
        <v>-10039</v>
      </c>
      <c r="C32" s="215">
        <v>-9533</v>
      </c>
      <c r="D32" s="220">
        <v>-33706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</row>
    <row r="33" spans="1:9" ht="15.6" customHeight="1" x14ac:dyDescent="0.3">
      <c r="A33" s="41" t="s">
        <v>270</v>
      </c>
      <c r="B33" s="216">
        <v>-1475</v>
      </c>
      <c r="C33" s="216">
        <v>-2783</v>
      </c>
      <c r="D33" s="216">
        <v>-6930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</row>
    <row r="34" spans="1:9" ht="15.6" customHeight="1" x14ac:dyDescent="0.3">
      <c r="A34" s="42" t="s">
        <v>271</v>
      </c>
      <c r="B34" s="215">
        <v>0</v>
      </c>
      <c r="C34" s="215">
        <v>-1250</v>
      </c>
      <c r="D34" s="215">
        <v>-1250</v>
      </c>
      <c r="E34" s="33">
        <f>'13_DebtSchedule'!I7</f>
        <v>-1000</v>
      </c>
      <c r="F34" s="33">
        <f>'13_DebtSchedule'!J7</f>
        <v>0</v>
      </c>
      <c r="G34" s="33">
        <f>'13_DebtSchedule'!K7</f>
        <v>-1250</v>
      </c>
      <c r="H34" s="33">
        <f>'13_DebtSchedule'!L7</f>
        <v>0</v>
      </c>
      <c r="I34" s="33">
        <f>'13_DebtSchedule'!M7</f>
        <v>-1500</v>
      </c>
    </row>
    <row r="35" spans="1:9" ht="15.6" customHeight="1" x14ac:dyDescent="0.3">
      <c r="A35" s="41" t="s">
        <v>272</v>
      </c>
      <c r="B35" s="216">
        <v>-398</v>
      </c>
      <c r="C35" s="216">
        <v>-395</v>
      </c>
      <c r="D35" s="216">
        <v>-834</v>
      </c>
      <c r="E35" s="33">
        <f>-'04b_Projection_BS'!G79</f>
        <v>-1198.2816397625509</v>
      </c>
      <c r="F35" s="33">
        <f>-'04b_Projection_BS'!H79</f>
        <v>-1552.3439244276844</v>
      </c>
      <c r="G35" s="33">
        <f>-'04b_Projection_BS'!I79</f>
        <v>-2020.1655057801117</v>
      </c>
      <c r="H35" s="33">
        <f>-'04b_Projection_BS'!J79</f>
        <v>-2152.6216567316251</v>
      </c>
      <c r="I35" s="33">
        <f>-'04b_Projection_BS'!K79</f>
        <v>-2695.4362326868363</v>
      </c>
    </row>
    <row r="36" spans="1:9" ht="19.8" customHeight="1" x14ac:dyDescent="0.3">
      <c r="A36" s="186" t="s">
        <v>273</v>
      </c>
      <c r="B36" s="215">
        <v>-58</v>
      </c>
      <c r="C36" s="215">
        <v>-74</v>
      </c>
      <c r="D36" s="215">
        <v>-129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</row>
    <row r="37" spans="1:9" ht="15.6" customHeight="1" x14ac:dyDescent="0.3">
      <c r="A37" s="41" t="s">
        <v>183</v>
      </c>
      <c r="B37" s="216">
        <v>-2</v>
      </c>
      <c r="C37" s="216">
        <v>-1</v>
      </c>
      <c r="D37" s="217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</row>
    <row r="38" spans="1:9" ht="15.6" customHeight="1" x14ac:dyDescent="0.3">
      <c r="A38" s="6" t="s">
        <v>275</v>
      </c>
      <c r="B38" s="86">
        <v>-11617</v>
      </c>
      <c r="C38" s="86">
        <v>-13633</v>
      </c>
      <c r="D38" s="86">
        <v>-42359</v>
      </c>
      <c r="E38" s="86">
        <f>SUM(E31:E37)</f>
        <v>-2198.2816397625511</v>
      </c>
      <c r="F38" s="86">
        <f>SUM(F31:F37)</f>
        <v>-1552.3439244276844</v>
      </c>
      <c r="G38" s="86">
        <f>SUM(G31:G37)</f>
        <v>-3270.1655057801117</v>
      </c>
      <c r="H38" s="86">
        <f>SUM(H31:H37)</f>
        <v>-2152.6216567316251</v>
      </c>
      <c r="I38" s="86">
        <f>SUM(I31:I37)</f>
        <v>-4195.4362326868359</v>
      </c>
    </row>
    <row r="39" spans="1:9" ht="15.6" customHeight="1" x14ac:dyDescent="0.3">
      <c r="A39" s="109" t="s">
        <v>276</v>
      </c>
      <c r="B39" s="110">
        <v>1399</v>
      </c>
      <c r="C39" s="110">
        <v>3891</v>
      </c>
      <c r="D39" s="110">
        <v>1309</v>
      </c>
      <c r="E39" s="110">
        <f>E19+E29+E38</f>
        <v>102711.53768143973</v>
      </c>
      <c r="F39" s="110">
        <f>F19+F29+F38</f>
        <v>155959.72966257457</v>
      </c>
      <c r="G39" s="110">
        <f>G19+G29+G38</f>
        <v>207856.49876584046</v>
      </c>
      <c r="H39" s="110">
        <f>H19+H29+H38</f>
        <v>258033.58833752503</v>
      </c>
      <c r="I39" s="110">
        <f>I19+I29+I38</f>
        <v>321551.02335721435</v>
      </c>
    </row>
    <row r="49" spans="2:5" x14ac:dyDescent="0.3">
      <c r="B49" s="132"/>
      <c r="C49" s="132"/>
      <c r="D49" s="132"/>
      <c r="E49" s="1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20"/>
  <sheetViews>
    <sheetView showGridLines="0" zoomScale="101" workbookViewId="0">
      <selection activeCell="B23" sqref="B23"/>
    </sheetView>
  </sheetViews>
  <sheetFormatPr defaultRowHeight="14.4" x14ac:dyDescent="0.3"/>
  <cols>
    <col min="2" max="2" width="38.6640625" bestFit="1" customWidth="1"/>
    <col min="3" max="5" width="9.21875" bestFit="1" customWidth="1"/>
    <col min="6" max="6" width="10.21875" bestFit="1" customWidth="1"/>
    <col min="7" max="7" width="9.21875" bestFit="1" customWidth="1"/>
    <col min="8" max="10" width="10.21875" bestFit="1" customWidth="1"/>
  </cols>
  <sheetData>
    <row r="2" spans="2:10" ht="15.6" customHeight="1" x14ac:dyDescent="0.3">
      <c r="B2" s="452" t="s">
        <v>407</v>
      </c>
      <c r="C2" s="453"/>
      <c r="D2" s="453"/>
      <c r="E2" s="453"/>
      <c r="F2" s="453"/>
      <c r="G2" s="453"/>
      <c r="H2" s="453"/>
      <c r="I2" s="453"/>
      <c r="J2" s="453"/>
    </row>
    <row r="3" spans="2:10" ht="15.6" customHeight="1" x14ac:dyDescent="0.3">
      <c r="B3" s="539" t="s">
        <v>187</v>
      </c>
      <c r="C3" s="539" t="s">
        <v>190</v>
      </c>
      <c r="D3" s="539" t="s">
        <v>191</v>
      </c>
      <c r="E3" s="539" t="s">
        <v>192</v>
      </c>
      <c r="F3" s="539" t="s">
        <v>6</v>
      </c>
      <c r="G3" s="539" t="s">
        <v>7</v>
      </c>
      <c r="H3" s="539" t="s">
        <v>8</v>
      </c>
      <c r="I3" s="539" t="s">
        <v>9</v>
      </c>
      <c r="J3" s="539" t="s">
        <v>10</v>
      </c>
    </row>
    <row r="4" spans="2:10" ht="15.6" customHeight="1" x14ac:dyDescent="0.3">
      <c r="B4" s="4" t="s">
        <v>151</v>
      </c>
      <c r="C4" s="454">
        <f>'04a_Projection_IS'!E81</f>
        <v>26974</v>
      </c>
      <c r="D4" s="454">
        <f>'04a_Projection_IS'!F81</f>
        <v>60922</v>
      </c>
      <c r="E4" s="454">
        <f>'04a_Projection_IS'!G81</f>
        <v>130497</v>
      </c>
      <c r="F4" s="454">
        <f>'04a_Projection_IS'!H81</f>
        <v>211566.25999999998</v>
      </c>
      <c r="G4" s="454">
        <f>'04a_Projection_IS'!I81</f>
        <v>295121.28599999996</v>
      </c>
      <c r="H4" s="454">
        <f>'04a_Projection_IS'!J81</f>
        <v>371459.25604800001</v>
      </c>
      <c r="I4" s="454">
        <f>'04a_Projection_IS'!K81</f>
        <v>429310.52072855999</v>
      </c>
      <c r="J4" s="454">
        <f>'04a_Projection_IS'!L81</f>
        <v>521670.89465200074</v>
      </c>
    </row>
    <row r="5" spans="2:10" ht="15.6" customHeight="1" x14ac:dyDescent="0.3">
      <c r="B5" s="455" t="s">
        <v>408</v>
      </c>
      <c r="C5" s="454">
        <f>'04a_Projection_IS'!E82</f>
        <v>11618</v>
      </c>
      <c r="D5" s="454">
        <f>'04a_Projection_IS'!F82</f>
        <v>16621</v>
      </c>
      <c r="E5" s="454">
        <f>'04a_Projection_IS'!G82</f>
        <v>32639</v>
      </c>
      <c r="F5" s="454">
        <f>'04a_Projection_IS'!H82</f>
        <v>48684.153011299873</v>
      </c>
      <c r="G5" s="454">
        <f>'04a_Projection_IS'!I82</f>
        <v>62008.827447284755</v>
      </c>
      <c r="H5" s="454">
        <f>'04a_Projection_IS'!J82</f>
        <v>70619.244472753548</v>
      </c>
      <c r="I5" s="454">
        <f>'04a_Projection_IS'!K82</f>
        <v>73031.313242283548</v>
      </c>
      <c r="J5" s="454">
        <f>'04a_Projection_IS'!L82</f>
        <v>78309.598355567054</v>
      </c>
    </row>
    <row r="6" spans="2:10" ht="15.6" customHeight="1" x14ac:dyDescent="0.3">
      <c r="B6" s="5" t="s">
        <v>409</v>
      </c>
      <c r="C6" s="456">
        <f>'04a_Projection_IS'!E83</f>
        <v>15356</v>
      </c>
      <c r="D6" s="456">
        <f>'04a_Projection_IS'!F83</f>
        <v>44301</v>
      </c>
      <c r="E6" s="456">
        <f>'04a_Projection_IS'!G83</f>
        <v>97858</v>
      </c>
      <c r="F6" s="456">
        <f>'04a_Projection_IS'!H83</f>
        <v>162882.10698870011</v>
      </c>
      <c r="G6" s="456">
        <f>'04a_Projection_IS'!I83</f>
        <v>233112.45855271519</v>
      </c>
      <c r="H6" s="456">
        <f>'04a_Projection_IS'!J83</f>
        <v>300840.01157524646</v>
      </c>
      <c r="I6" s="456">
        <f>'04a_Projection_IS'!K83</f>
        <v>356279.20748627646</v>
      </c>
      <c r="J6" s="456">
        <f>'04a_Projection_IS'!L83</f>
        <v>443361.29629643366</v>
      </c>
    </row>
    <row r="7" spans="2:10" ht="15.6" customHeight="1" x14ac:dyDescent="0.3">
      <c r="B7" s="4" t="str">
        <f>'04a_Projection_IS'!A86</f>
        <v>Research and development</v>
      </c>
      <c r="C7" s="105">
        <f>'04a_Projection_IS'!E86</f>
        <v>7339</v>
      </c>
      <c r="D7" s="105">
        <f>'04a_Projection_IS'!F86</f>
        <v>8675</v>
      </c>
      <c r="E7" s="105">
        <f>'04a_Projection_IS'!G86</f>
        <v>12914</v>
      </c>
      <c r="F7" s="105">
        <f>'04a_Projection_IS'!H86</f>
        <v>20098.794699999999</v>
      </c>
      <c r="G7" s="105">
        <f>'04a_Projection_IS'!I86</f>
        <v>27446.279597999997</v>
      </c>
      <c r="H7" s="105">
        <f>'04a_Projection_IS'!J86</f>
        <v>33431.333044320003</v>
      </c>
      <c r="I7" s="105">
        <f>'04a_Projection_IS'!K86</f>
        <v>37779.325824113279</v>
      </c>
      <c r="J7" s="105">
        <f>'04a_Projection_IS'!L86</f>
        <v>44342.026045420069</v>
      </c>
    </row>
    <row r="8" spans="2:10" ht="15.6" customHeight="1" x14ac:dyDescent="0.3">
      <c r="B8" s="4" t="str">
        <f>'04a_Projection_IS'!A87</f>
        <v>Sales, general and administrative</v>
      </c>
      <c r="C8" s="105">
        <f>'04a_Projection_IS'!E87</f>
        <v>2440</v>
      </c>
      <c r="D8" s="105">
        <f>'04a_Projection_IS'!F87</f>
        <v>2654</v>
      </c>
      <c r="E8" s="105">
        <f>'04a_Projection_IS'!G87</f>
        <v>3491</v>
      </c>
      <c r="F8" s="105">
        <f>'04a_Projection_IS'!H87</f>
        <v>5289.1565000000001</v>
      </c>
      <c r="G8" s="105">
        <f>'04a_Projection_IS'!I87</f>
        <v>7082.9108639999995</v>
      </c>
      <c r="H8" s="105">
        <f>'04a_Projection_IS'!J87</f>
        <v>8543.5628891039996</v>
      </c>
      <c r="I8" s="105">
        <f>'04a_Projection_IS'!K87</f>
        <v>9444.8314560283197</v>
      </c>
      <c r="J8" s="105">
        <f>'04a_Projection_IS'!L87</f>
        <v>11476.759682344016</v>
      </c>
    </row>
    <row r="9" spans="2:10" ht="15.6" customHeight="1" x14ac:dyDescent="0.3">
      <c r="B9" s="4" t="str">
        <f>'04a_Projection_IS'!A88</f>
        <v>Acquisition termination cost</v>
      </c>
      <c r="C9" s="105">
        <f>'04a_Projection_IS'!E88</f>
        <v>1353</v>
      </c>
      <c r="D9" s="105">
        <f>'04a_Projection_IS'!F88</f>
        <v>0</v>
      </c>
      <c r="E9" s="105">
        <f>'04a_Projection_IS'!G88</f>
        <v>0</v>
      </c>
      <c r="F9" s="105">
        <f>'04a_Projection_IS'!H88</f>
        <v>0</v>
      </c>
      <c r="G9" s="105">
        <f>'04a_Projection_IS'!I88</f>
        <v>0</v>
      </c>
      <c r="H9" s="105">
        <f>'04a_Projection_IS'!J88</f>
        <v>0</v>
      </c>
      <c r="I9" s="105">
        <f>'04a_Projection_IS'!K88</f>
        <v>0</v>
      </c>
      <c r="J9" s="105">
        <f>'04a_Projection_IS'!L88</f>
        <v>0</v>
      </c>
    </row>
    <row r="10" spans="2:10" ht="15.6" customHeight="1" x14ac:dyDescent="0.3">
      <c r="B10" s="5" t="s">
        <v>159</v>
      </c>
      <c r="C10" s="105">
        <f>'04a_Projection_IS'!E89</f>
        <v>11132</v>
      </c>
      <c r="D10" s="105">
        <f>'04a_Projection_IS'!F89</f>
        <v>11329</v>
      </c>
      <c r="E10" s="105">
        <f>'04a_Projection_IS'!G89</f>
        <v>16405</v>
      </c>
      <c r="F10" s="105">
        <f>'04a_Projection_IS'!H89</f>
        <v>25387.9512</v>
      </c>
      <c r="G10" s="105">
        <f>'04a_Projection_IS'!I89</f>
        <v>34529.190461999999</v>
      </c>
      <c r="H10" s="105">
        <f>'04a_Projection_IS'!J89</f>
        <v>41974.895933424006</v>
      </c>
      <c r="I10" s="105">
        <f>'04a_Projection_IS'!K89</f>
        <v>47224.157280141597</v>
      </c>
      <c r="J10" s="105">
        <f>'04a_Projection_IS'!L89</f>
        <v>55818.785727764087</v>
      </c>
    </row>
    <row r="11" spans="2:10" ht="15.6" customHeight="1" x14ac:dyDescent="0.3">
      <c r="B11" s="349" t="s">
        <v>162</v>
      </c>
      <c r="C11" s="456">
        <f t="shared" ref="C11:J11" si="0">C6-C10</f>
        <v>4224</v>
      </c>
      <c r="D11" s="456">
        <f t="shared" si="0"/>
        <v>32972</v>
      </c>
      <c r="E11" s="456">
        <f t="shared" si="0"/>
        <v>81453</v>
      </c>
      <c r="F11" s="456">
        <f t="shared" si="0"/>
        <v>137494.1557887001</v>
      </c>
      <c r="G11" s="456">
        <f t="shared" si="0"/>
        <v>198583.2680907152</v>
      </c>
      <c r="H11" s="456">
        <f t="shared" si="0"/>
        <v>258865.11564182246</v>
      </c>
      <c r="I11" s="456">
        <f t="shared" si="0"/>
        <v>309055.05020613485</v>
      </c>
      <c r="J11" s="456">
        <f t="shared" si="0"/>
        <v>387542.51056866959</v>
      </c>
    </row>
    <row r="12" spans="2:10" ht="15.6" customHeight="1" x14ac:dyDescent="0.3">
      <c r="B12" s="455" t="s">
        <v>314</v>
      </c>
      <c r="C12" s="457">
        <f>'04c_Projection_CF'!B7</f>
        <v>1544</v>
      </c>
      <c r="D12" s="457">
        <f>'04c_Projection_CF'!C7</f>
        <v>1508</v>
      </c>
      <c r="E12" s="457">
        <f>'04c_Projection_CF'!D7</f>
        <v>1864</v>
      </c>
      <c r="F12" s="457">
        <f>'04c_Projection_CF'!E7</f>
        <v>3046.1975599999996</v>
      </c>
      <c r="G12" s="457">
        <f>'04c_Projection_CF'!F7</f>
        <v>4816.9737903999994</v>
      </c>
      <c r="H12" s="457">
        <f>'04c_Projection_CF'!G7</f>
        <v>6921.4048803167998</v>
      </c>
      <c r="I12" s="457">
        <f>'04c_Projection_CF'!H7</f>
        <v>9077.6680046881593</v>
      </c>
      <c r="J12" s="457">
        <f>'04c_Projection_CF'!I7</f>
        <v>11117.025014739364</v>
      </c>
    </row>
    <row r="13" spans="2:10" ht="15.6" customHeight="1" x14ac:dyDescent="0.3">
      <c r="B13" s="5" t="s">
        <v>410</v>
      </c>
      <c r="C13" s="458">
        <f t="shared" ref="C13:J13" si="1">C11-C12</f>
        <v>2680</v>
      </c>
      <c r="D13" s="458">
        <f t="shared" si="1"/>
        <v>31464</v>
      </c>
      <c r="E13" s="458">
        <f t="shared" si="1"/>
        <v>79589</v>
      </c>
      <c r="F13" s="458">
        <f t="shared" si="1"/>
        <v>134447.9582287001</v>
      </c>
      <c r="G13" s="458">
        <f t="shared" si="1"/>
        <v>193766.2943003152</v>
      </c>
      <c r="H13" s="458">
        <f t="shared" si="1"/>
        <v>251943.71076150564</v>
      </c>
      <c r="I13" s="458">
        <f t="shared" si="1"/>
        <v>299977.38220144669</v>
      </c>
      <c r="J13" s="458">
        <f t="shared" si="1"/>
        <v>376425.48555393022</v>
      </c>
    </row>
    <row r="14" spans="2:10" ht="15.6" customHeight="1" x14ac:dyDescent="0.3">
      <c r="B14" s="455" t="s">
        <v>411</v>
      </c>
      <c r="C14" s="457">
        <f>'04a_Projection_IS'!E96</f>
        <v>-187</v>
      </c>
      <c r="D14" s="457">
        <f>'04a_Projection_IS'!F96</f>
        <v>4058</v>
      </c>
      <c r="E14" s="457">
        <f>'04a_Projection_IS'!G96</f>
        <v>11146</v>
      </c>
      <c r="F14" s="457">
        <f>'04a_Projection_IS'!H96</f>
        <v>21146.146584045015</v>
      </c>
      <c r="G14" s="457">
        <f>'04a_Projection_IS'!I96</f>
        <v>29251.444969722448</v>
      </c>
      <c r="H14" s="457">
        <f>'04a_Projection_IS'!J96</f>
        <v>38066.796405213281</v>
      </c>
      <c r="I14" s="457">
        <f>'04a_Projection_IS'!K96</f>
        <v>43803.347666050511</v>
      </c>
      <c r="J14" s="457">
        <f>'04a_Projection_IS'!L96</f>
        <v>54848.99310699958</v>
      </c>
    </row>
    <row r="15" spans="2:10" ht="15.6" customHeight="1" x14ac:dyDescent="0.3">
      <c r="B15" s="5" t="s">
        <v>412</v>
      </c>
      <c r="C15" s="458">
        <f t="shared" ref="C15:J15" si="2">C13-C14</f>
        <v>2867</v>
      </c>
      <c r="D15" s="458">
        <f t="shared" si="2"/>
        <v>27406</v>
      </c>
      <c r="E15" s="458">
        <f t="shared" si="2"/>
        <v>68443</v>
      </c>
      <c r="F15" s="458">
        <f t="shared" si="2"/>
        <v>113301.81164465508</v>
      </c>
      <c r="G15" s="458">
        <f t="shared" si="2"/>
        <v>164514.84933059275</v>
      </c>
      <c r="H15" s="458">
        <f t="shared" si="2"/>
        <v>213876.91435629237</v>
      </c>
      <c r="I15" s="458">
        <f t="shared" si="2"/>
        <v>256174.03453539617</v>
      </c>
      <c r="J15" s="458">
        <f t="shared" si="2"/>
        <v>321576.49244693061</v>
      </c>
    </row>
    <row r="16" spans="2:10" ht="15.6" customHeight="1" x14ac:dyDescent="0.3">
      <c r="B16" s="4" t="s">
        <v>413</v>
      </c>
      <c r="C16" s="454">
        <f t="shared" ref="C16:J16" si="3">C12</f>
        <v>1544</v>
      </c>
      <c r="D16" s="454">
        <f t="shared" si="3"/>
        <v>1508</v>
      </c>
      <c r="E16" s="454">
        <f t="shared" si="3"/>
        <v>1864</v>
      </c>
      <c r="F16" s="454">
        <f t="shared" si="3"/>
        <v>3046.1975599999996</v>
      </c>
      <c r="G16" s="454">
        <f t="shared" si="3"/>
        <v>4816.9737903999994</v>
      </c>
      <c r="H16" s="454">
        <f t="shared" si="3"/>
        <v>6921.4048803167998</v>
      </c>
      <c r="I16" s="454">
        <f t="shared" si="3"/>
        <v>9077.6680046881593</v>
      </c>
      <c r="J16" s="454">
        <f t="shared" si="3"/>
        <v>11117.025014739364</v>
      </c>
    </row>
    <row r="17" spans="2:10" ht="15.6" customHeight="1" x14ac:dyDescent="0.3">
      <c r="B17" s="4" t="s">
        <v>414</v>
      </c>
      <c r="C17" s="454">
        <f>'04c_Projection_CF'!B25</f>
        <v>-1833</v>
      </c>
      <c r="D17" s="454">
        <f>'04c_Projection_CF'!C25</f>
        <v>-1069</v>
      </c>
      <c r="E17" s="454">
        <f>'04c_Projection_CF'!D25</f>
        <v>-3236</v>
      </c>
      <c r="F17" s="454">
        <f>'04c_Projection_CF'!E25</f>
        <v>-6346.987799999999</v>
      </c>
      <c r="G17" s="454">
        <f>'04c_Projection_CF'!F25</f>
        <v>-9443.8811519999999</v>
      </c>
      <c r="H17" s="454">
        <f>'04c_Projection_CF'!G25</f>
        <v>-12258.155449584001</v>
      </c>
      <c r="I17" s="454">
        <f>'04c_Projection_CF'!H25</f>
        <v>-12879.315621856798</v>
      </c>
      <c r="J17" s="454">
        <f>'04c_Projection_CF'!I25</f>
        <v>-14606.785050256021</v>
      </c>
    </row>
    <row r="18" spans="2:10" ht="15.6" customHeight="1" x14ac:dyDescent="0.3">
      <c r="B18" s="4" t="s">
        <v>415</v>
      </c>
      <c r="C18" s="454">
        <f>'09_WorkingCapital'!D19</f>
        <v>-72</v>
      </c>
      <c r="D18" s="454">
        <f>'09_WorkingCapital'!E19</f>
        <v>4516</v>
      </c>
      <c r="E18" s="454">
        <f>'09_WorkingCapital'!F19</f>
        <v>11139</v>
      </c>
      <c r="F18" s="454">
        <f>'09_WorkingCapital'!G19</f>
        <v>10686.144655052827</v>
      </c>
      <c r="G18" s="454">
        <f>'09_WorkingCapital'!H19</f>
        <v>9941.9817551404558</v>
      </c>
      <c r="H18" s="454">
        <f>'09_WorkingCapital'!I19</f>
        <v>8305.2264874961838</v>
      </c>
      <c r="I18" s="454">
        <f>'09_WorkingCapital'!J19</f>
        <v>5949.817811684843</v>
      </c>
      <c r="J18" s="454">
        <f>'09_WorkingCapital'!K19</f>
        <v>10031.043774868762</v>
      </c>
    </row>
    <row r="19" spans="2:10" ht="15.6" customHeight="1" x14ac:dyDescent="0.3">
      <c r="B19" s="459" t="s">
        <v>416</v>
      </c>
      <c r="C19" s="454">
        <f>'09_WorkingCapital'!D18</f>
        <v>3214</v>
      </c>
      <c r="D19" s="454">
        <f>'09_WorkingCapital'!E18</f>
        <v>7730</v>
      </c>
      <c r="E19" s="454">
        <f>'09_WorkingCapital'!F18</f>
        <v>18869</v>
      </c>
      <c r="F19" s="454">
        <f>'09_WorkingCapital'!G18</f>
        <v>29555.144655052827</v>
      </c>
      <c r="G19" s="454">
        <f>'09_WorkingCapital'!H18</f>
        <v>39497.126410193283</v>
      </c>
      <c r="H19" s="454">
        <f>'09_WorkingCapital'!I18</f>
        <v>47802.352897689467</v>
      </c>
      <c r="I19" s="454">
        <f>'09_WorkingCapital'!J18</f>
        <v>53752.17070937431</v>
      </c>
      <c r="J19" s="454">
        <f>'09_WorkingCapital'!K18</f>
        <v>63783.214484243072</v>
      </c>
    </row>
    <row r="20" spans="2:10" ht="15.6" customHeight="1" x14ac:dyDescent="0.3">
      <c r="B20" s="460" t="s">
        <v>345</v>
      </c>
      <c r="C20" s="461">
        <f t="shared" ref="C20:J20" si="4">C15+C16+C17-C18</f>
        <v>2650</v>
      </c>
      <c r="D20" s="461">
        <f t="shared" si="4"/>
        <v>23329</v>
      </c>
      <c r="E20" s="461">
        <f t="shared" si="4"/>
        <v>55932</v>
      </c>
      <c r="F20" s="461">
        <f t="shared" si="4"/>
        <v>99314.876749602263</v>
      </c>
      <c r="G20" s="461">
        <f t="shared" si="4"/>
        <v>149945.96021385229</v>
      </c>
      <c r="H20" s="461">
        <f t="shared" si="4"/>
        <v>200234.93729952897</v>
      </c>
      <c r="I20" s="461">
        <f t="shared" si="4"/>
        <v>246422.56910654268</v>
      </c>
      <c r="J20" s="461">
        <f t="shared" si="4"/>
        <v>308055.68863654521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2"/>
  <sheetViews>
    <sheetView zoomScale="60" zoomScaleNormal="60" workbookViewId="0">
      <selection activeCell="E16" sqref="E16"/>
    </sheetView>
  </sheetViews>
  <sheetFormatPr defaultRowHeight="15.6" x14ac:dyDescent="0.3"/>
  <cols>
    <col min="1" max="1" width="8.88671875" style="135" customWidth="1"/>
    <col min="2" max="2" width="42" style="135" bestFit="1" customWidth="1"/>
    <col min="3" max="3" width="16" style="135" bestFit="1" customWidth="1"/>
    <col min="4" max="4" width="55" style="135" bestFit="1" customWidth="1"/>
    <col min="5" max="6" width="9" style="135" bestFit="1" customWidth="1"/>
    <col min="7" max="7" width="11.5546875" style="135" customWidth="1"/>
    <col min="8" max="8" width="15.33203125" style="135" bestFit="1" customWidth="1"/>
    <col min="9" max="12" width="14.33203125" style="135" bestFit="1" customWidth="1"/>
    <col min="13" max="13" width="15.109375" style="135" bestFit="1" customWidth="1"/>
    <col min="14" max="17" width="14.33203125" style="135" bestFit="1" customWidth="1"/>
    <col min="18" max="22" width="8.88671875" style="135" customWidth="1"/>
    <col min="23" max="16384" width="8.88671875" style="135"/>
  </cols>
  <sheetData>
    <row r="1" spans="1:20" ht="21" customHeight="1" x14ac:dyDescent="0.4">
      <c r="A1" s="543" t="s">
        <v>417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</row>
    <row r="3" spans="1:20" ht="18" customHeight="1" x14ac:dyDescent="0.35">
      <c r="B3" s="515" t="s">
        <v>407</v>
      </c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"/>
      <c r="N3" s="4"/>
      <c r="O3" s="4"/>
      <c r="P3" s="4"/>
      <c r="Q3" s="4"/>
    </row>
    <row r="4" spans="1:20" x14ac:dyDescent="0.3">
      <c r="B4" s="539" t="s">
        <v>187</v>
      </c>
      <c r="C4" s="540"/>
      <c r="D4" s="540"/>
      <c r="E4" s="539" t="s">
        <v>190</v>
      </c>
      <c r="F4" s="539" t="s">
        <v>191</v>
      </c>
      <c r="G4" s="539" t="s">
        <v>192</v>
      </c>
      <c r="H4" s="539" t="s">
        <v>6</v>
      </c>
      <c r="I4" s="539" t="s">
        <v>7</v>
      </c>
      <c r="J4" s="539" t="s">
        <v>8</v>
      </c>
      <c r="K4" s="539" t="s">
        <v>9</v>
      </c>
      <c r="L4" s="539" t="s">
        <v>10</v>
      </c>
      <c r="M4" s="4"/>
      <c r="N4" s="4"/>
      <c r="O4" s="4"/>
      <c r="P4" s="4"/>
      <c r="Q4" s="4"/>
    </row>
    <row r="5" spans="1:20" x14ac:dyDescent="0.3">
      <c r="B5" s="4" t="s">
        <v>345</v>
      </c>
      <c r="C5" s="516"/>
      <c r="D5" s="516"/>
      <c r="E5" s="516">
        <f>'05a_FCFF'!C20</f>
        <v>2650</v>
      </c>
      <c r="F5" s="516">
        <f>'05a_FCFF'!D20</f>
        <v>23329</v>
      </c>
      <c r="G5" s="516">
        <f>'05a_FCFF'!E20</f>
        <v>55932</v>
      </c>
      <c r="H5" s="516">
        <f>'05a_FCFF'!F20</f>
        <v>99314.876749602263</v>
      </c>
      <c r="I5" s="516">
        <f>'05a_FCFF'!G20</f>
        <v>149945.96021385229</v>
      </c>
      <c r="J5" s="516">
        <f>'05a_FCFF'!H20</f>
        <v>200234.93729952897</v>
      </c>
      <c r="K5" s="516">
        <f>'05a_FCFF'!I20</f>
        <v>246422.56910654268</v>
      </c>
      <c r="L5" s="516">
        <f>'05a_FCFF'!J20</f>
        <v>308055.68863654521</v>
      </c>
      <c r="M5" s="4"/>
      <c r="N5" s="4"/>
      <c r="O5" s="4"/>
      <c r="P5" s="4"/>
      <c r="Q5" s="4"/>
    </row>
    <row r="6" spans="1:20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0" x14ac:dyDescent="0.3">
      <c r="B7" s="4" t="s">
        <v>418</v>
      </c>
      <c r="C7" s="4"/>
      <c r="D7" s="4"/>
      <c r="E7" s="4"/>
      <c r="F7" s="4"/>
      <c r="G7" s="4"/>
      <c r="H7" s="4">
        <v>1</v>
      </c>
      <c r="I7" s="4">
        <v>2</v>
      </c>
      <c r="J7" s="4">
        <v>3</v>
      </c>
      <c r="K7" s="4">
        <v>4</v>
      </c>
      <c r="L7" s="4">
        <v>5</v>
      </c>
      <c r="M7" s="4"/>
      <c r="N7" s="4"/>
      <c r="O7" s="4"/>
      <c r="P7" s="4"/>
      <c r="Q7" s="4"/>
    </row>
    <row r="8" spans="1:20" x14ac:dyDescent="0.3">
      <c r="B8" s="517" t="s">
        <v>419</v>
      </c>
      <c r="C8" s="517"/>
      <c r="D8" s="517"/>
      <c r="E8" s="517"/>
      <c r="F8" s="517"/>
      <c r="G8" s="518"/>
      <c r="H8" s="518">
        <f>H5/(1+$C$14)^H7</f>
        <v>87956.020661135481</v>
      </c>
      <c r="I8" s="518">
        <f>I5/(1+$C$14)^I7</f>
        <v>117608.11762958977</v>
      </c>
      <c r="J8" s="518">
        <f>J5/(1+$C$14)^J7</f>
        <v>139089.27714046155</v>
      </c>
      <c r="K8" s="518">
        <f>K5/(1+$C$14)^K7</f>
        <v>151595.23117221662</v>
      </c>
      <c r="L8" s="518">
        <f>L5/(1+$C$14)^L7</f>
        <v>167836.16838155835</v>
      </c>
      <c r="M8" s="4"/>
      <c r="N8" s="4"/>
      <c r="O8" s="4"/>
      <c r="P8" s="4"/>
      <c r="Q8" s="4"/>
    </row>
    <row r="9" spans="1:20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ht="18" customHeight="1" x14ac:dyDescent="0.35">
      <c r="B10" s="717" t="s">
        <v>420</v>
      </c>
      <c r="C10" s="715"/>
      <c r="D10" s="4"/>
      <c r="E10" s="519"/>
      <c r="F10" s="520"/>
      <c r="G10" s="521" t="s">
        <v>421</v>
      </c>
      <c r="H10" s="521"/>
      <c r="I10" s="521"/>
      <c r="J10" s="522"/>
      <c r="K10" s="522"/>
      <c r="L10" s="522"/>
      <c r="M10" s="522"/>
      <c r="N10" s="522"/>
      <c r="O10" s="522"/>
      <c r="P10" s="522"/>
      <c r="Q10" s="522"/>
    </row>
    <row r="11" spans="1:20" x14ac:dyDescent="0.3">
      <c r="B11" s="4" t="s">
        <v>422</v>
      </c>
      <c r="C11" s="516">
        <f>SUM(H8:L8)</f>
        <v>664084.81498496176</v>
      </c>
      <c r="D11" s="4"/>
      <c r="E11" s="42"/>
      <c r="F11" s="4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20" x14ac:dyDescent="0.3">
      <c r="B12" s="4" t="s">
        <v>423</v>
      </c>
      <c r="C12" s="523" t="s">
        <v>424</v>
      </c>
      <c r="D12" s="4"/>
      <c r="E12" s="42"/>
      <c r="F12" s="42"/>
      <c r="G12" s="4"/>
      <c r="H12" s="524"/>
      <c r="I12" s="719" t="s">
        <v>425</v>
      </c>
      <c r="J12" s="715"/>
      <c r="K12" s="715"/>
      <c r="L12" s="715"/>
      <c r="M12" s="715"/>
      <c r="N12" s="715"/>
      <c r="O12" s="715"/>
      <c r="P12" s="715"/>
      <c r="Q12" s="715"/>
      <c r="R12" s="261"/>
      <c r="S12" s="261"/>
      <c r="T12" s="261"/>
    </row>
    <row r="13" spans="1:20" x14ac:dyDescent="0.3">
      <c r="B13" s="4" t="s">
        <v>426</v>
      </c>
      <c r="C13" s="525">
        <v>0.04</v>
      </c>
      <c r="D13" s="4"/>
      <c r="E13" s="42"/>
      <c r="F13" s="42"/>
      <c r="G13" s="5"/>
      <c r="H13" s="204">
        <f>C17</f>
        <v>2622182.3673510635</v>
      </c>
      <c r="I13" s="526">
        <f>J13-0.5%</f>
        <v>0.02</v>
      </c>
      <c r="J13" s="526">
        <f>K13-0.5%</f>
        <v>2.5000000000000001E-2</v>
      </c>
      <c r="K13" s="526">
        <f>L13-0.5%</f>
        <v>3.0000000000000002E-2</v>
      </c>
      <c r="L13" s="526">
        <f>M13-0.5%</f>
        <v>3.5000000000000003E-2</v>
      </c>
      <c r="M13" s="527">
        <f>C13</f>
        <v>0.04</v>
      </c>
      <c r="N13" s="526">
        <f>M13+0.5%</f>
        <v>4.4999999999999998E-2</v>
      </c>
      <c r="O13" s="526">
        <f>N13+0.5%</f>
        <v>4.9999999999999996E-2</v>
      </c>
      <c r="P13" s="526">
        <f>O13+0.5%</f>
        <v>5.4999999999999993E-2</v>
      </c>
      <c r="Q13" s="526">
        <f>P13+0.5%</f>
        <v>5.9999999999999991E-2</v>
      </c>
    </row>
    <row r="14" spans="1:20" ht="15.6" customHeight="1" x14ac:dyDescent="0.3">
      <c r="B14" s="4" t="s">
        <v>427</v>
      </c>
      <c r="C14" s="354">
        <f>'15_WACC'!F19</f>
        <v>0.12914245100092209</v>
      </c>
      <c r="D14" s="4"/>
      <c r="E14" s="42"/>
      <c r="F14" s="528"/>
      <c r="G14" s="716" t="s">
        <v>427</v>
      </c>
      <c r="H14" s="526">
        <f>H15-0.5%</f>
        <v>0.10914245100092207</v>
      </c>
      <c r="I14" s="105">
        <f t="dataTable" ref="I14:Q22" dt2D="1" dtr="1" r1="C13" r2="C14" ca="1"/>
        <v>2804478.7207026817</v>
      </c>
      <c r="J14" s="105">
        <v>2475582.5509956051</v>
      </c>
      <c r="K14" s="105">
        <v>2304342.663554329</v>
      </c>
      <c r="L14" s="105">
        <v>2229502.2458969881</v>
      </c>
      <c r="M14" s="105">
        <v>2229502.2458969881</v>
      </c>
      <c r="N14" s="105">
        <v>2304342.663554329</v>
      </c>
      <c r="O14" s="105">
        <v>2475582.5509956051</v>
      </c>
      <c r="P14" s="105">
        <v>2804478.7207026817</v>
      </c>
      <c r="Q14" s="105">
        <v>3464990.5142008769</v>
      </c>
      <c r="R14" s="261"/>
    </row>
    <row r="15" spans="1:20" ht="14.4" customHeight="1" x14ac:dyDescent="0.3">
      <c r="B15" s="4" t="s">
        <v>428</v>
      </c>
      <c r="C15" s="516">
        <f>C28</f>
        <v>3593999.4086396955</v>
      </c>
      <c r="D15" s="4"/>
      <c r="E15" s="529"/>
      <c r="F15" s="530"/>
      <c r="G15" s="715"/>
      <c r="H15" s="526">
        <f>H16-0.5%</f>
        <v>0.11414245100092207</v>
      </c>
      <c r="I15" s="105">
        <v>3439958.2722314405</v>
      </c>
      <c r="J15" s="105">
        <v>2952122.6507987557</v>
      </c>
      <c r="K15" s="105">
        <v>2708908.1092078835</v>
      </c>
      <c r="L15" s="105">
        <v>2604816.3572465051</v>
      </c>
      <c r="M15" s="105">
        <v>2604816.3572465051</v>
      </c>
      <c r="N15" s="105">
        <v>2708908.1092078835</v>
      </c>
      <c r="O15" s="105">
        <v>2952122.6507987557</v>
      </c>
      <c r="P15" s="105">
        <v>3439958.2722314405</v>
      </c>
      <c r="Q15" s="105">
        <v>4510882.8960988708</v>
      </c>
    </row>
    <row r="16" spans="1:20" ht="14.4" customHeight="1" x14ac:dyDescent="0.3">
      <c r="B16" s="4" t="s">
        <v>429</v>
      </c>
      <c r="C16" s="516">
        <f>C15/(1+C14)^L7</f>
        <v>1958097.5523661016</v>
      </c>
      <c r="D16" s="516"/>
      <c r="E16" s="529"/>
      <c r="F16" s="530"/>
      <c r="G16" s="715"/>
      <c r="H16" s="526">
        <f>H17-0.5%</f>
        <v>0.11914245100092208</v>
      </c>
      <c r="I16" s="105">
        <v>4031162.482856134</v>
      </c>
      <c r="J16" s="105">
        <v>3372261.6682460592</v>
      </c>
      <c r="K16" s="105">
        <v>3056186.94558927</v>
      </c>
      <c r="L16" s="105">
        <v>2923330.1525881509</v>
      </c>
      <c r="M16" s="105">
        <v>2923330.1525881509</v>
      </c>
      <c r="N16" s="105">
        <v>3056186.94558927</v>
      </c>
      <c r="O16" s="105">
        <v>3372261.6682460592</v>
      </c>
      <c r="P16" s="105">
        <v>4031162.482856134</v>
      </c>
      <c r="Q16" s="105">
        <v>5606275.9092690647</v>
      </c>
    </row>
    <row r="17" spans="2:17" ht="14.4" customHeight="1" x14ac:dyDescent="0.3">
      <c r="B17" s="5" t="s">
        <v>430</v>
      </c>
      <c r="C17" s="592">
        <f>C11+C16</f>
        <v>2622182.3673510635</v>
      </c>
      <c r="D17" s="4"/>
      <c r="E17" s="529"/>
      <c r="F17" s="530"/>
      <c r="G17" s="715"/>
      <c r="H17" s="526">
        <f>H18-0.5%</f>
        <v>0.12414245100092208</v>
      </c>
      <c r="I17" s="105">
        <v>4402565.8372500753</v>
      </c>
      <c r="J17" s="105">
        <v>3625533.4401700189</v>
      </c>
      <c r="K17" s="105">
        <v>3261423.9256996708</v>
      </c>
      <c r="L17" s="531">
        <v>3110003.521994886</v>
      </c>
      <c r="M17" s="531">
        <v>3110003.521994886</v>
      </c>
      <c r="N17" s="531">
        <v>3261423.9256996708</v>
      </c>
      <c r="O17" s="105">
        <v>3625533.4401700189</v>
      </c>
      <c r="P17" s="105">
        <v>4402565.8372500753</v>
      </c>
      <c r="Q17" s="105">
        <v>6365007.6347852675</v>
      </c>
    </row>
    <row r="18" spans="2:17" ht="14.4" customHeight="1" x14ac:dyDescent="0.3">
      <c r="B18" s="4" t="s">
        <v>431</v>
      </c>
      <c r="C18" s="105">
        <f>C38</f>
        <v>-32940</v>
      </c>
      <c r="D18" s="188"/>
      <c r="E18" s="529"/>
      <c r="F18" s="530"/>
      <c r="G18" s="715"/>
      <c r="H18" s="527">
        <f>C14</f>
        <v>0.12914245100092209</v>
      </c>
      <c r="I18" s="105">
        <v>4402565.8372500753</v>
      </c>
      <c r="J18" s="105">
        <v>3625533.4401700189</v>
      </c>
      <c r="K18" s="105">
        <v>3261423.9256996708</v>
      </c>
      <c r="L18" s="531">
        <v>3110003.521994886</v>
      </c>
      <c r="M18" s="532">
        <v>3110003.521994886</v>
      </c>
      <c r="N18" s="531">
        <v>3261423.9256996708</v>
      </c>
      <c r="O18" s="105">
        <v>3625533.4401700189</v>
      </c>
      <c r="P18" s="105">
        <v>4402565.8372500753</v>
      </c>
      <c r="Q18" s="105">
        <v>6365007.6347852675</v>
      </c>
    </row>
    <row r="19" spans="2:17" ht="14.4" customHeight="1" x14ac:dyDescent="0.3">
      <c r="B19" s="517" t="s">
        <v>432</v>
      </c>
      <c r="C19" s="591">
        <f>C17-C18</f>
        <v>2655122.3673510635</v>
      </c>
      <c r="D19" s="4"/>
      <c r="E19" s="529"/>
      <c r="F19" s="530"/>
      <c r="G19" s="715"/>
      <c r="H19" s="526">
        <f>H18+0.5%</f>
        <v>0.13414245100092209</v>
      </c>
      <c r="I19" s="83">
        <v>4031162.482856134</v>
      </c>
      <c r="J19" s="83">
        <v>3372261.6682460592</v>
      </c>
      <c r="K19" s="105">
        <v>3056186.94558927</v>
      </c>
      <c r="L19" s="531">
        <v>2923330.1525881509</v>
      </c>
      <c r="M19" s="531">
        <v>2923330.1525881509</v>
      </c>
      <c r="N19" s="531">
        <v>3056186.94558927</v>
      </c>
      <c r="O19" s="105">
        <v>3372261.6682460592</v>
      </c>
      <c r="P19" s="105">
        <v>4031162.482856134</v>
      </c>
      <c r="Q19" s="105">
        <v>5606275.9092690647</v>
      </c>
    </row>
    <row r="20" spans="2:17" ht="14.4" customHeight="1" x14ac:dyDescent="0.3">
      <c r="B20" s="4" t="s">
        <v>433</v>
      </c>
      <c r="C20" s="533">
        <v>24300</v>
      </c>
      <c r="D20" s="4"/>
      <c r="E20" s="529"/>
      <c r="F20" s="530"/>
      <c r="G20" s="715"/>
      <c r="H20" s="526">
        <f>H19+0.5%</f>
        <v>0.1391424510009221</v>
      </c>
      <c r="I20" s="105">
        <v>3439958.2722314405</v>
      </c>
      <c r="J20" s="105">
        <v>2952122.6507987557</v>
      </c>
      <c r="K20" s="105">
        <v>2708908.1092078835</v>
      </c>
      <c r="L20" s="105">
        <v>2604816.3572465051</v>
      </c>
      <c r="M20" s="105">
        <v>2604816.3572465051</v>
      </c>
      <c r="N20" s="105">
        <v>2708908.1092078835</v>
      </c>
      <c r="O20" s="105">
        <v>2952122.6507987557</v>
      </c>
      <c r="P20" s="105">
        <v>3439958.2722314405</v>
      </c>
      <c r="Q20" s="105">
        <v>4510882.8960988708</v>
      </c>
    </row>
    <row r="21" spans="2:17" ht="14.4" customHeight="1" x14ac:dyDescent="0.3">
      <c r="B21" s="460" t="s">
        <v>434</v>
      </c>
      <c r="C21" s="534">
        <f>C19/C20</f>
        <v>109.26429495271866</v>
      </c>
      <c r="D21" s="188"/>
      <c r="E21" s="529"/>
      <c r="F21" s="530"/>
      <c r="G21" s="715"/>
      <c r="H21" s="526">
        <f>H20+0.5%</f>
        <v>0.1441424510009221</v>
      </c>
      <c r="I21" s="105">
        <v>2804478.7207026817</v>
      </c>
      <c r="J21" s="105">
        <v>2475582.5509956051</v>
      </c>
      <c r="K21" s="105">
        <v>2304342.663554329</v>
      </c>
      <c r="L21" s="105">
        <v>2229502.2458969881</v>
      </c>
      <c r="M21" s="105">
        <v>2229502.2458969881</v>
      </c>
      <c r="N21" s="105">
        <v>2304342.663554329</v>
      </c>
      <c r="O21" s="105">
        <v>2475582.5509956051</v>
      </c>
      <c r="P21" s="105">
        <v>2804478.7207026817</v>
      </c>
      <c r="Q21" s="105">
        <v>3464990.5142008769</v>
      </c>
    </row>
    <row r="22" spans="2:17" ht="14.4" customHeight="1" x14ac:dyDescent="0.3">
      <c r="B22" s="4"/>
      <c r="C22" s="4"/>
      <c r="D22" s="4"/>
      <c r="E22" s="4"/>
      <c r="F22" s="4"/>
      <c r="G22" s="715"/>
      <c r="H22" s="526">
        <f>H21+0.5%</f>
        <v>0.1491424510009221</v>
      </c>
      <c r="I22" s="105">
        <v>2232611.9112634137</v>
      </c>
      <c r="J22" s="105">
        <v>2022808.9892177815</v>
      </c>
      <c r="K22" s="105">
        <v>1909007.5541594727</v>
      </c>
      <c r="L22" s="105">
        <v>1858240.9154595872</v>
      </c>
      <c r="M22" s="105">
        <v>1858240.9154595872</v>
      </c>
      <c r="N22" s="105">
        <v>1909007.5541594727</v>
      </c>
      <c r="O22" s="105">
        <v>2022808.9892177815</v>
      </c>
      <c r="P22" s="105">
        <v>2232611.9112634137</v>
      </c>
      <c r="Q22" s="105">
        <v>2622182.3673510635</v>
      </c>
    </row>
    <row r="23" spans="2:17" ht="14.4" customHeight="1" x14ac:dyDescent="0.3">
      <c r="B23" s="4"/>
      <c r="C23" s="4"/>
      <c r="D23" s="353"/>
      <c r="E23" s="18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ht="14.4" customHeight="1" x14ac:dyDescent="0.35">
      <c r="B24" s="284" t="s">
        <v>428</v>
      </c>
      <c r="C24" s="3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ht="14.4" customHeight="1" x14ac:dyDescent="0.35">
      <c r="B25" s="284" t="s">
        <v>435</v>
      </c>
      <c r="C25" s="30"/>
      <c r="D25" s="105"/>
      <c r="E25" s="105"/>
      <c r="F25" s="4"/>
      <c r="G25" s="535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ht="18" customHeight="1" x14ac:dyDescent="0.35">
      <c r="B26" s="4" t="s">
        <v>436</v>
      </c>
      <c r="C26" s="516">
        <f>L5</f>
        <v>308055.68863654521</v>
      </c>
      <c r="D26" s="4"/>
      <c r="E26" s="4"/>
      <c r="F26" s="4"/>
      <c r="G26" s="521" t="s">
        <v>437</v>
      </c>
      <c r="H26" s="521"/>
      <c r="I26" s="521"/>
      <c r="J26" s="522"/>
      <c r="K26" s="522"/>
      <c r="L26" s="522"/>
      <c r="M26" s="522"/>
      <c r="N26" s="522"/>
      <c r="O26" s="522"/>
      <c r="P26" s="522"/>
      <c r="Q26" s="522"/>
    </row>
    <row r="27" spans="2:17" x14ac:dyDescent="0.3">
      <c r="B27" s="4" t="s">
        <v>438</v>
      </c>
      <c r="C27" s="357">
        <f>C13</f>
        <v>0.04</v>
      </c>
      <c r="D27" s="35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3">
      <c r="B28" s="324" t="s">
        <v>428</v>
      </c>
      <c r="C28" s="541">
        <f>C26*(1+C27)/(C14-C27)</f>
        <v>3593999.4086396955</v>
      </c>
      <c r="D28" s="4"/>
      <c r="E28" s="4"/>
      <c r="F28" s="4"/>
      <c r="G28" s="4"/>
      <c r="H28" s="524"/>
      <c r="I28" s="719" t="s">
        <v>425</v>
      </c>
      <c r="J28" s="715"/>
      <c r="K28" s="715"/>
      <c r="L28" s="715"/>
      <c r="M28" s="715"/>
      <c r="N28" s="715"/>
      <c r="O28" s="715"/>
      <c r="P28" s="715"/>
      <c r="Q28" s="715"/>
    </row>
    <row r="29" spans="2:17" x14ac:dyDescent="0.3">
      <c r="B29" s="4"/>
      <c r="C29" s="4"/>
      <c r="D29" s="4"/>
      <c r="E29" s="4"/>
      <c r="F29" s="4"/>
      <c r="G29" s="5"/>
      <c r="H29" s="204">
        <f>C21</f>
        <v>109.26429495271866</v>
      </c>
      <c r="I29" s="526">
        <f>J29-0.5%</f>
        <v>0.02</v>
      </c>
      <c r="J29" s="526">
        <f>K29-0.5%</f>
        <v>2.5000000000000001E-2</v>
      </c>
      <c r="K29" s="526">
        <f>L29-0.5%</f>
        <v>3.0000000000000002E-2</v>
      </c>
      <c r="L29" s="526">
        <f>M29-0.5%</f>
        <v>3.5000000000000003E-2</v>
      </c>
      <c r="M29" s="527">
        <v>0.04</v>
      </c>
      <c r="N29" s="526">
        <f>M29+0.5%</f>
        <v>4.4999999999999998E-2</v>
      </c>
      <c r="O29" s="526">
        <f>N29+0.5%</f>
        <v>4.9999999999999996E-2</v>
      </c>
      <c r="P29" s="526">
        <f>O29+0.5%</f>
        <v>5.4999999999999993E-2</v>
      </c>
      <c r="Q29" s="526">
        <f>P29+0.5%</f>
        <v>5.9999999999999991E-2</v>
      </c>
    </row>
    <row r="30" spans="2:17" ht="18" customHeight="1" x14ac:dyDescent="0.35">
      <c r="B30" s="536" t="s">
        <v>439</v>
      </c>
      <c r="C30" s="476"/>
      <c r="D30" s="4"/>
      <c r="E30" s="4"/>
      <c r="F30" s="4"/>
      <c r="G30" s="716" t="s">
        <v>427</v>
      </c>
      <c r="H30" s="526">
        <f>H31-0.5%</f>
        <v>0.10909999999999997</v>
      </c>
      <c r="I30" s="105">
        <f t="dataTable" ref="I30:Q38" dt2D="1" dtr="1" r1="C13" r2="C14"/>
        <v>116.82761274712202</v>
      </c>
      <c r="J30" s="105">
        <v>122.41792984229288</v>
      </c>
      <c r="K30" s="105">
        <v>128.71498740461561</v>
      </c>
      <c r="L30" s="105">
        <v>135.86185030598318</v>
      </c>
      <c r="M30" s="105">
        <v>144.0429914854069</v>
      </c>
      <c r="N30" s="105">
        <v>153.50044174118375</v>
      </c>
      <c r="O30" s="105">
        <v>164.55813738710896</v>
      </c>
      <c r="P30" s="105">
        <v>177.65976938163402</v>
      </c>
      <c r="Q30" s="105">
        <v>193.42975819785462</v>
      </c>
    </row>
    <row r="31" spans="2:17" x14ac:dyDescent="0.3">
      <c r="B31" s="4" t="s">
        <v>440</v>
      </c>
      <c r="C31" s="105">
        <f>'02_Historical_BS'!F20</f>
        <v>0</v>
      </c>
      <c r="D31" s="4"/>
      <c r="E31" s="4"/>
      <c r="F31" s="4"/>
      <c r="G31" s="715"/>
      <c r="H31" s="526">
        <f>H32-0.5%</f>
        <v>0.11409999999999998</v>
      </c>
      <c r="I31" s="105">
        <v>109.98189470631338</v>
      </c>
      <c r="J31" s="105">
        <v>114.88904025231354</v>
      </c>
      <c r="K31" s="105">
        <v>120.37967516169067</v>
      </c>
      <c r="L31" s="105">
        <v>126.56444849197507</v>
      </c>
      <c r="M31" s="105">
        <v>133.58387409355299</v>
      </c>
      <c r="N31" s="105">
        <v>141.61913552748658</v>
      </c>
      <c r="O31" s="105">
        <v>150.90794788715084</v>
      </c>
      <c r="P31" s="105">
        <v>161.76847130597994</v>
      </c>
      <c r="Q31" s="105">
        <v>174.63648519039671</v>
      </c>
    </row>
    <row r="32" spans="2:17" x14ac:dyDescent="0.3">
      <c r="B32" s="537" t="s">
        <v>219</v>
      </c>
      <c r="C32" s="105">
        <v>0</v>
      </c>
      <c r="D32" s="4"/>
      <c r="E32" s="4"/>
      <c r="F32" s="4"/>
      <c r="G32" s="715"/>
      <c r="H32" s="526">
        <f>H33-0.5%</f>
        <v>0.11909999999999998</v>
      </c>
      <c r="I32" s="105">
        <v>103.83882719683687</v>
      </c>
      <c r="J32" s="105">
        <v>108.17247988638749</v>
      </c>
      <c r="K32" s="105">
        <v>112.99251334917615</v>
      </c>
      <c r="L32" s="105">
        <v>118.38567802038197</v>
      </c>
      <c r="M32" s="105">
        <v>124.46065870564674</v>
      </c>
      <c r="N32" s="105">
        <v>131.35547484101468</v>
      </c>
      <c r="O32" s="105">
        <v>139.24809360089318</v>
      </c>
      <c r="P32" s="105">
        <v>148.37201013922387</v>
      </c>
      <c r="Q32" s="105">
        <v>159.03973658251743</v>
      </c>
    </row>
    <row r="33" spans="2:17" x14ac:dyDescent="0.3">
      <c r="B33" s="4" t="s">
        <v>220</v>
      </c>
      <c r="C33" s="105">
        <f>'02_Historical_BS'!F21</f>
        <v>288</v>
      </c>
      <c r="D33" s="4"/>
      <c r="E33" s="4"/>
      <c r="F33" s="4"/>
      <c r="G33" s="715"/>
      <c r="H33" s="526">
        <f>H34-0.5%</f>
        <v>0.12409999999999999</v>
      </c>
      <c r="I33" s="105">
        <v>98.296902224398011</v>
      </c>
      <c r="J33" s="105">
        <v>102.14502383565787</v>
      </c>
      <c r="K33" s="105">
        <v>106.40208504428863</v>
      </c>
      <c r="L33" s="531">
        <v>111.13693090035265</v>
      </c>
      <c r="M33" s="531">
        <v>116.43477864179889</v>
      </c>
      <c r="N33" s="531">
        <v>122.40239221655055</v>
      </c>
      <c r="O33" s="105">
        <v>129.17535175280716</v>
      </c>
      <c r="P33" s="105">
        <v>136.92847909460019</v>
      </c>
      <c r="Q33" s="105">
        <v>145.89114268316283</v>
      </c>
    </row>
    <row r="34" spans="2:17" x14ac:dyDescent="0.3">
      <c r="B34" s="537" t="s">
        <v>225</v>
      </c>
      <c r="C34" s="105">
        <f>'02_Historical_BS'!F26</f>
        <v>8463</v>
      </c>
      <c r="D34" s="4"/>
      <c r="E34" s="4"/>
      <c r="F34" s="4"/>
      <c r="G34" s="715"/>
      <c r="H34" s="527">
        <v>0.12909999999999999</v>
      </c>
      <c r="I34" s="105">
        <v>93.273227075438243</v>
      </c>
      <c r="J34" s="105">
        <v>96.707128738104501</v>
      </c>
      <c r="K34" s="105">
        <v>100.48753914574213</v>
      </c>
      <c r="L34" s="531">
        <v>104.66969348617864</v>
      </c>
      <c r="M34" s="532">
        <v>109.32122541813442</v>
      </c>
      <c r="N34" s="531">
        <v>114.52585270466281</v>
      </c>
      <c r="O34" s="105">
        <v>120.38846068481048</v>
      </c>
      <c r="P34" s="105">
        <v>127.04224383096997</v>
      </c>
      <c r="Q34" s="105">
        <v>134.6589478376446</v>
      </c>
    </row>
    <row r="35" spans="2:17" x14ac:dyDescent="0.3">
      <c r="B35" s="537" t="s">
        <v>226</v>
      </c>
      <c r="C35" s="105">
        <f>'02_Historical_BS'!F27</f>
        <v>1519</v>
      </c>
      <c r="D35" s="4"/>
      <c r="E35" s="4"/>
      <c r="F35" s="4"/>
      <c r="G35" s="715"/>
      <c r="H35" s="526">
        <f>H34+0.5%</f>
        <v>0.1341</v>
      </c>
      <c r="I35" s="83">
        <v>88.699445375246498</v>
      </c>
      <c r="J35" s="83">
        <v>91.777505983143143</v>
      </c>
      <c r="K35" s="105">
        <v>95.151249646553438</v>
      </c>
      <c r="L35" s="531">
        <v>98.865431621105017</v>
      </c>
      <c r="M35" s="531">
        <v>102.97431943779809</v>
      </c>
      <c r="N35" s="531">
        <v>107.544361891606</v>
      </c>
      <c r="O35" s="105">
        <v>112.65781010686548</v>
      </c>
      <c r="P35" s="105">
        <v>118.41771195237271</v>
      </c>
      <c r="Q35" s="105">
        <v>124.95492848688228</v>
      </c>
    </row>
    <row r="36" spans="2:17" x14ac:dyDescent="0.3">
      <c r="B36" s="542" t="s">
        <v>441</v>
      </c>
      <c r="C36" s="226">
        <f>SUM(C31:C35)</f>
        <v>10270</v>
      </c>
      <c r="D36" s="4"/>
      <c r="E36" s="4"/>
      <c r="F36" s="4"/>
      <c r="G36" s="715"/>
      <c r="H36" s="526">
        <f>H35+0.5%</f>
        <v>0.1391</v>
      </c>
      <c r="I36" s="105">
        <v>84.518685595294528</v>
      </c>
      <c r="J36" s="105">
        <v>87.289121776763309</v>
      </c>
      <c r="K36" s="105">
        <v>90.31349344690932</v>
      </c>
      <c r="L36" s="105">
        <v>93.628390733784045</v>
      </c>
      <c r="M36" s="105">
        <v>97.277788251423175</v>
      </c>
      <c r="N36" s="105">
        <v>101.31500697178691</v>
      </c>
      <c r="O36" s="105">
        <v>105.8053366596438</v>
      </c>
      <c r="P36" s="105">
        <v>110.82959377768582</v>
      </c>
      <c r="Q36" s="105">
        <v>116.48902878675717</v>
      </c>
    </row>
    <row r="37" spans="2:17" x14ac:dyDescent="0.3">
      <c r="B37" s="537" t="s">
        <v>442</v>
      </c>
      <c r="C37" s="105">
        <f>'02_Historical_BS'!F6</f>
        <v>43210</v>
      </c>
      <c r="D37" s="4"/>
      <c r="E37" s="4"/>
      <c r="F37" s="4"/>
      <c r="G37" s="715"/>
      <c r="H37" s="526">
        <f>H36+0.5%</f>
        <v>0.14410000000000001</v>
      </c>
      <c r="I37" s="105">
        <v>80.683247237334342</v>
      </c>
      <c r="J37" s="105">
        <v>83.186204754377641</v>
      </c>
      <c r="K37" s="105">
        <v>85.908527522695564</v>
      </c>
      <c r="L37" s="105">
        <v>88.880375750987611</v>
      </c>
      <c r="M37" s="105">
        <v>92.137704116483519</v>
      </c>
      <c r="N37" s="105">
        <v>95.723723538033497</v>
      </c>
      <c r="O37" s="105">
        <v>99.690828976751376</v>
      </c>
      <c r="P37" s="105">
        <v>104.10317632778327</v>
      </c>
      <c r="Q37" s="105">
        <v>109.04017853625061</v>
      </c>
    </row>
    <row r="38" spans="2:17" ht="18" customHeight="1" x14ac:dyDescent="0.35">
      <c r="B38" s="538" t="s">
        <v>439</v>
      </c>
      <c r="C38" s="183">
        <f>C36-C37</f>
        <v>-32940</v>
      </c>
      <c r="D38" s="4"/>
      <c r="E38" s="4"/>
      <c r="F38" s="4"/>
      <c r="G38" s="715"/>
      <c r="H38" s="526">
        <f>H37+0.5%</f>
        <v>0.14910000000000001</v>
      </c>
      <c r="I38" s="105">
        <v>77.152824704138254</v>
      </c>
      <c r="J38" s="105">
        <v>79.421976981779977</v>
      </c>
      <c r="K38" s="105">
        <v>81.881654219761074</v>
      </c>
      <c r="L38" s="105">
        <v>84.55690352066776</v>
      </c>
      <c r="M38" s="105">
        <v>87.477363573261599</v>
      </c>
      <c r="N38" s="105">
        <v>90.678367338880761</v>
      </c>
      <c r="O38" s="105">
        <v>94.202378548053815</v>
      </c>
      <c r="P38" s="105">
        <v>98.100886166278244</v>
      </c>
      <c r="Q38" s="105">
        <v>102.43693672706432</v>
      </c>
    </row>
    <row r="40" spans="2:17" ht="7.95" customHeight="1" x14ac:dyDescent="0.3"/>
    <row r="41" spans="2:17" ht="19.95" customHeight="1" x14ac:dyDescent="0.3">
      <c r="B41" s="721" t="s">
        <v>443</v>
      </c>
      <c r="C41" s="715"/>
      <c r="D41" s="715"/>
      <c r="E41" s="715"/>
      <c r="F41" s="715"/>
    </row>
    <row r="42" spans="2:17" ht="18" customHeight="1" x14ac:dyDescent="0.3">
      <c r="B42" s="635" t="s">
        <v>444</v>
      </c>
      <c r="C42" s="635" t="s">
        <v>31</v>
      </c>
      <c r="D42" s="635" t="s">
        <v>445</v>
      </c>
    </row>
    <row r="43" spans="2:17" ht="25.95" customHeight="1" x14ac:dyDescent="0.3">
      <c r="B43" s="636" t="s">
        <v>446</v>
      </c>
      <c r="C43" s="637">
        <f>'05a_FCFF'!J11</f>
        <v>387542.51056866959</v>
      </c>
      <c r="D43" s="638" t="s">
        <v>447</v>
      </c>
    </row>
    <row r="44" spans="2:17" ht="25.95" customHeight="1" x14ac:dyDescent="0.3">
      <c r="B44" s="639" t="s">
        <v>448</v>
      </c>
      <c r="C44" s="640">
        <v>22.3</v>
      </c>
      <c r="D44" s="641" t="s">
        <v>449</v>
      </c>
    </row>
    <row r="45" spans="2:17" ht="25.95" customHeight="1" x14ac:dyDescent="0.3">
      <c r="B45" s="636" t="s">
        <v>450</v>
      </c>
      <c r="C45" s="637">
        <f>C43*C44</f>
        <v>8642197.9856813326</v>
      </c>
      <c r="D45" s="638" t="s">
        <v>451</v>
      </c>
    </row>
    <row r="46" spans="2:17" ht="25.95" customHeight="1" x14ac:dyDescent="0.3">
      <c r="B46" s="639" t="s">
        <v>452</v>
      </c>
      <c r="C46" s="642">
        <f>C45/(1+C14)^5</f>
        <v>4708477.8818121273</v>
      </c>
      <c r="D46" s="641" t="s">
        <v>453</v>
      </c>
    </row>
    <row r="47" spans="2:17" ht="25.95" customHeight="1" x14ac:dyDescent="0.3">
      <c r="B47" s="636" t="s">
        <v>454</v>
      </c>
      <c r="C47" s="637">
        <f>C11+C46</f>
        <v>5372562.6967970887</v>
      </c>
      <c r="D47" s="638" t="s">
        <v>455</v>
      </c>
    </row>
    <row r="48" spans="2:17" ht="25.95" customHeight="1" x14ac:dyDescent="0.3">
      <c r="B48" s="639" t="s">
        <v>456</v>
      </c>
      <c r="C48" s="642">
        <f>C38</f>
        <v>-32940</v>
      </c>
      <c r="D48" s="641" t="s">
        <v>457</v>
      </c>
    </row>
    <row r="49" spans="2:17" ht="25.95" customHeight="1" x14ac:dyDescent="0.3">
      <c r="B49" s="636" t="s">
        <v>458</v>
      </c>
      <c r="C49" s="637">
        <f>C47-C48</f>
        <v>5405502.6967970887</v>
      </c>
      <c r="D49" s="638" t="s">
        <v>459</v>
      </c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</row>
    <row r="50" spans="2:17" ht="25.95" customHeight="1" x14ac:dyDescent="0.3">
      <c r="B50" s="639" t="s">
        <v>460</v>
      </c>
      <c r="C50" s="642">
        <f>C20</f>
        <v>24300</v>
      </c>
      <c r="D50" s="641" t="s">
        <v>461</v>
      </c>
      <c r="G50" s="307"/>
      <c r="H50" s="308"/>
      <c r="I50" s="308"/>
      <c r="J50" s="308"/>
      <c r="K50" s="308"/>
      <c r="L50" s="308"/>
      <c r="M50" s="308"/>
      <c r="N50" s="308"/>
      <c r="O50" s="308"/>
      <c r="P50" s="308"/>
      <c r="Q50" s="308"/>
    </row>
    <row r="51" spans="2:17" ht="25.95" customHeight="1" x14ac:dyDescent="0.3">
      <c r="B51" s="643" t="s">
        <v>462</v>
      </c>
      <c r="C51" s="644">
        <f>C49/C50</f>
        <v>222.44867065008594</v>
      </c>
      <c r="D51" s="645" t="s">
        <v>463</v>
      </c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</row>
    <row r="52" spans="2:17" x14ac:dyDescent="0.3">
      <c r="G52" s="149"/>
      <c r="H52" s="309"/>
      <c r="I52" s="718"/>
      <c r="J52" s="715"/>
      <c r="K52" s="715"/>
      <c r="L52" s="715"/>
      <c r="M52" s="715"/>
      <c r="N52" s="715"/>
      <c r="O52" s="715"/>
      <c r="P52" s="715"/>
      <c r="Q52" s="715"/>
    </row>
    <row r="53" spans="2:17" ht="19.95" customHeight="1" x14ac:dyDescent="0.3">
      <c r="B53" s="714" t="s">
        <v>464</v>
      </c>
      <c r="C53" s="715"/>
      <c r="D53" s="715"/>
      <c r="E53" s="715"/>
      <c r="F53" s="715"/>
      <c r="G53" s="147"/>
      <c r="H53" s="310"/>
      <c r="I53" s="311"/>
      <c r="J53" s="311"/>
      <c r="K53" s="311"/>
      <c r="L53" s="311"/>
      <c r="M53" s="312"/>
      <c r="N53" s="311"/>
      <c r="O53" s="311"/>
      <c r="P53" s="311"/>
      <c r="Q53" s="311"/>
    </row>
    <row r="54" spans="2:17" ht="22.05" customHeight="1" x14ac:dyDescent="0.3">
      <c r="B54" s="639" t="s">
        <v>465</v>
      </c>
      <c r="C54" s="646">
        <f>C21</f>
        <v>109.26429495271866</v>
      </c>
      <c r="D54" s="647" t="s">
        <v>466</v>
      </c>
      <c r="G54" s="720"/>
      <c r="H54" s="311"/>
      <c r="I54" s="148"/>
      <c r="J54" s="148"/>
      <c r="K54" s="148"/>
      <c r="L54" s="148"/>
      <c r="M54" s="148"/>
      <c r="N54" s="148"/>
      <c r="O54" s="148"/>
      <c r="P54" s="148"/>
      <c r="Q54" s="148"/>
    </row>
    <row r="55" spans="2:17" ht="22.05" customHeight="1" x14ac:dyDescent="0.3">
      <c r="B55" s="639" t="s">
        <v>467</v>
      </c>
      <c r="C55" s="646">
        <f>C51</f>
        <v>222.44867065008594</v>
      </c>
      <c r="D55" s="647" t="s">
        <v>466</v>
      </c>
      <c r="G55" s="715"/>
      <c r="H55" s="311"/>
      <c r="I55" s="148"/>
      <c r="J55" s="148"/>
      <c r="K55" s="148"/>
      <c r="L55" s="148"/>
      <c r="M55" s="148"/>
      <c r="N55" s="148"/>
      <c r="O55" s="148"/>
      <c r="P55" s="148"/>
      <c r="Q55" s="148"/>
    </row>
    <row r="56" spans="2:17" ht="22.05" customHeight="1" x14ac:dyDescent="0.3">
      <c r="B56" s="639" t="s">
        <v>468</v>
      </c>
      <c r="C56" s="648">
        <f>C55-C54</f>
        <v>113.18437569736729</v>
      </c>
      <c r="D56" s="647" t="s">
        <v>466</v>
      </c>
      <c r="G56" s="715"/>
      <c r="H56" s="311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2:17" ht="22.05" customHeight="1" x14ac:dyDescent="0.3">
      <c r="B57" s="649" t="s">
        <v>469</v>
      </c>
      <c r="C57" s="650">
        <f>AVERAGE(C54,C55)</f>
        <v>165.85648280140231</v>
      </c>
      <c r="D57" s="651" t="s">
        <v>466</v>
      </c>
      <c r="G57" s="715"/>
      <c r="H57" s="311"/>
      <c r="I57" s="148"/>
      <c r="J57" s="148"/>
      <c r="K57" s="148"/>
      <c r="L57" s="313"/>
      <c r="M57" s="313"/>
      <c r="N57" s="313"/>
      <c r="O57" s="148"/>
      <c r="P57" s="148"/>
      <c r="Q57" s="148"/>
    </row>
    <row r="58" spans="2:17" x14ac:dyDescent="0.3">
      <c r="G58" s="715"/>
      <c r="H58" s="312"/>
      <c r="I58" s="148"/>
      <c r="J58" s="148"/>
      <c r="K58" s="148"/>
      <c r="L58" s="313"/>
      <c r="M58" s="314"/>
      <c r="N58" s="313"/>
      <c r="O58" s="148"/>
      <c r="P58" s="148"/>
      <c r="Q58" s="148"/>
    </row>
    <row r="59" spans="2:17" x14ac:dyDescent="0.3">
      <c r="G59" s="715"/>
      <c r="H59" s="311"/>
      <c r="I59" s="148"/>
      <c r="J59" s="148"/>
      <c r="K59" s="148"/>
      <c r="L59" s="313"/>
      <c r="M59" s="313"/>
      <c r="N59" s="313"/>
      <c r="O59" s="148"/>
      <c r="P59" s="148"/>
      <c r="Q59" s="148"/>
    </row>
    <row r="60" spans="2:17" x14ac:dyDescent="0.3">
      <c r="G60" s="715"/>
      <c r="H60" s="311"/>
      <c r="I60" s="148"/>
      <c r="J60" s="148"/>
      <c r="K60" s="148"/>
      <c r="L60" s="148"/>
      <c r="M60" s="148"/>
      <c r="N60" s="148"/>
      <c r="O60" s="148"/>
      <c r="P60" s="148"/>
      <c r="Q60" s="148"/>
    </row>
    <row r="61" spans="2:17" x14ac:dyDescent="0.3">
      <c r="G61" s="715"/>
      <c r="H61" s="311"/>
      <c r="I61" s="148"/>
      <c r="J61" s="148"/>
      <c r="K61" s="148"/>
      <c r="L61" s="148"/>
      <c r="M61" s="148"/>
      <c r="N61" s="148"/>
      <c r="O61" s="148"/>
      <c r="P61" s="148"/>
      <c r="Q61" s="148"/>
    </row>
    <row r="62" spans="2:17" x14ac:dyDescent="0.3">
      <c r="G62" s="715"/>
      <c r="H62" s="311"/>
      <c r="I62" s="148"/>
      <c r="J62" s="148"/>
      <c r="K62" s="148"/>
      <c r="L62" s="148"/>
      <c r="M62" s="148"/>
      <c r="N62" s="148"/>
      <c r="O62" s="148"/>
      <c r="P62" s="148"/>
      <c r="Q62" s="148"/>
    </row>
  </sheetData>
  <mergeCells count="9">
    <mergeCell ref="G54:G62"/>
    <mergeCell ref="B41:F41"/>
    <mergeCell ref="I12:Q12"/>
    <mergeCell ref="B53:F53"/>
    <mergeCell ref="G14:G22"/>
    <mergeCell ref="G30:G38"/>
    <mergeCell ref="B10:C10"/>
    <mergeCell ref="I52:Q52"/>
    <mergeCell ref="I28:Q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4"/>
  <sheetViews>
    <sheetView showGridLines="0" zoomScale="70" zoomScaleNormal="70" workbookViewId="0">
      <selection activeCell="Q29" sqref="Q29"/>
    </sheetView>
  </sheetViews>
  <sheetFormatPr defaultRowHeight="14.4" x14ac:dyDescent="0.3"/>
  <cols>
    <col min="1" max="1" width="10" customWidth="1"/>
    <col min="2" max="10" width="9" customWidth="1"/>
    <col min="11" max="11" width="15.33203125" customWidth="1"/>
    <col min="13" max="13" width="9.88671875" bestFit="1" customWidth="1"/>
    <col min="14" max="17" width="11.109375" bestFit="1" customWidth="1"/>
    <col min="20" max="20" width="9.21875" bestFit="1" customWidth="1"/>
  </cols>
  <sheetData>
    <row r="1" spans="1:20" ht="28.05" customHeight="1" x14ac:dyDescent="0.3">
      <c r="A1" s="723" t="s">
        <v>470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</row>
    <row r="2" spans="1:20" ht="21" customHeight="1" x14ac:dyDescent="0.3">
      <c r="A2" s="724" t="s">
        <v>471</v>
      </c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</row>
    <row r="3" spans="1:20" ht="19.95" customHeight="1" x14ac:dyDescent="0.3">
      <c r="A3" s="714" t="s">
        <v>472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</row>
    <row r="4" spans="1:20" ht="18" customHeight="1" x14ac:dyDescent="0.3">
      <c r="A4" s="652" t="s">
        <v>473</v>
      </c>
      <c r="B4" s="653">
        <v>0.02</v>
      </c>
      <c r="C4" s="653">
        <v>2.5000000000000001E-2</v>
      </c>
      <c r="D4" s="653">
        <v>0.03</v>
      </c>
      <c r="E4" s="653">
        <v>3.5000000000000003E-2</v>
      </c>
      <c r="F4" s="653">
        <v>0.04</v>
      </c>
      <c r="G4" s="653">
        <v>4.4999999999999998E-2</v>
      </c>
      <c r="H4" s="653">
        <v>0.05</v>
      </c>
      <c r="I4" s="653">
        <v>5.5E-2</v>
      </c>
      <c r="J4" s="653">
        <v>0.06</v>
      </c>
    </row>
    <row r="5" spans="1:20" ht="18" customHeight="1" x14ac:dyDescent="0.3">
      <c r="A5" s="654">
        <v>0.109</v>
      </c>
      <c r="B5" s="655">
        <f>('05b_DCF'!$C$11+('05a_FCFF'!$J$20*(1+0.02)/(0.109-0.02))/(1+0.109)^5-'05b_DCF'!$C$38)/'05b_DCF'!$C$20</f>
        <v>115.29561559613894</v>
      </c>
      <c r="C5" s="655">
        <f>('05b_DCF'!$C$11+('05a_FCFF'!$J$20*(1+0.025)/(0.109-0.025))/(1+0.109)^5-'05b_DCF'!$C$38)/'05b_DCF'!$C$20</f>
        <v>120.90089785080397</v>
      </c>
      <c r="D5" s="655">
        <f>('05b_DCF'!$C$11+('05a_FCFF'!$J$20*(1+0.03)/(0.109-0.03))/(1+0.109)^5-'05b_DCF'!$C$38)/'05b_DCF'!$C$20</f>
        <v>127.21570950479371</v>
      </c>
      <c r="E5" s="655">
        <f>('05b_DCF'!$C$11+('05a_FCFF'!$J$20*(1+0.035)/(0.109-0.035))/(1+0.109)^5-'05b_DCF'!$C$38)/'05b_DCF'!$C$20</f>
        <v>134.38387408499827</v>
      </c>
      <c r="F5" s="655">
        <f>('05b_DCF'!$C$11+('05a_FCFF'!$J$20*(1+0.04)/(0.109-0.04))/(1+0.109)^5-'05b_DCF'!$C$38)/'05b_DCF'!$C$20</f>
        <v>142.5909030971165</v>
      </c>
      <c r="G5" s="655">
        <f>('05b_DCF'!$C$11+('05a_FCFF'!$J$20*(1+0.045)/(0.109-0.045))/(1+0.109)^5-'05b_DCF'!$C$38)/'05b_DCF'!$C$20</f>
        <v>152.08028039237828</v>
      </c>
      <c r="H5" s="655">
        <f>('05b_DCF'!$C$11+('05a_FCFF'!$J$20*(1+0.05)/(0.109-0.05))/(1+0.109)^5-'05b_DCF'!$C$38)/'05b_DCF'!$C$20</f>
        <v>163.17802672073526</v>
      </c>
      <c r="I5" s="655">
        <f>('05b_DCF'!$C$11+('05a_FCFF'!$J$20*(1+0.055)/(0.109-0.055))/(1+0.109)^5-'05b_DCF'!$C$38)/'05b_DCF'!$C$20</f>
        <v>176.33091125804717</v>
      </c>
      <c r="J5" s="655">
        <f>('05b_DCF'!$C$11+('05a_FCFF'!$J$20*(1+0.06)/(0.109-0.06))/(1+0.109)^5-'05b_DCF'!$C$38)/'05b_DCF'!$C$20</f>
        <v>192.16805794583092</v>
      </c>
    </row>
    <row r="6" spans="1:20" ht="18" customHeight="1" x14ac:dyDescent="0.3">
      <c r="A6" s="656">
        <v>0.114</v>
      </c>
      <c r="B6" s="657">
        <f>('05b_DCF'!$C$11+('05a_FCFF'!$J$20*(1+0.02)/(0.114-0.02))/(1+0.114)^5-'05b_DCF'!$C$38)/'05b_DCF'!$C$20</f>
        <v>108.86475274806725</v>
      </c>
      <c r="C6" s="657">
        <f>('05b_DCF'!$C$11+('05a_FCFF'!$J$20*(1+0.025)/(0.114-0.025))/(1+0.114)^5-'05b_DCF'!$C$38)/'05b_DCF'!$C$20</f>
        <v>113.78440425926713</v>
      </c>
      <c r="D6" s="657">
        <f>('05b_DCF'!$C$11+('05a_FCFF'!$J$20*(1+0.03)/(0.114-0.03))/(1+0.114)^5-'05b_DCF'!$C$38)/'05b_DCF'!$C$20</f>
        <v>119.2897285694194</v>
      </c>
      <c r="E6" s="657">
        <f>('05b_DCF'!$C$11+('05a_FCFF'!$J$20*(1+0.035)/(0.114-0.035))/(1+0.114)^5-'05b_DCF'!$C$38)/'05b_DCF'!$C$20</f>
        <v>125.49192937452759</v>
      </c>
      <c r="F6" s="657">
        <f>('05b_DCF'!$C$11+('05a_FCFF'!$J$20*(1+0.04)/(0.114-0.04))/(1+0.114)^5-'05b_DCF'!$C$38)/'05b_DCF'!$C$20</f>
        <v>132.53226542356936</v>
      </c>
      <c r="G6" s="657">
        <f>('05b_DCF'!$C$11+('05a_FCFF'!$J$20*(1+0.045)/(0.114-0.045))/(1+0.114)^5-'05b_DCF'!$C$38)/'05b_DCF'!$C$20</f>
        <v>140.59294003044326</v>
      </c>
      <c r="H6" s="657">
        <f>('05b_DCF'!$C$11+('05a_FCFF'!$J$20*(1+0.05)/(0.114-0.05))/(1+0.114)^5-'05b_DCF'!$C$38)/'05b_DCF'!$C$20</f>
        <v>149.91309504464121</v>
      </c>
      <c r="I6" s="657">
        <f>('05b_DCF'!$C$11+('05a_FCFF'!$J$20*(1+0.055)/(0.114-0.055))/(1+0.114)^5-'05b_DCF'!$C$38)/'05b_DCF'!$C$20</f>
        <v>160.8129373493812</v>
      </c>
      <c r="J6" s="657">
        <f>('05b_DCF'!$C$11+('05a_FCFF'!$J$20*(1+0.06)/(0.114-0.06))/(1+0.114)^5-'05b_DCF'!$C$38)/'05b_DCF'!$C$20</f>
        <v>173.73126896981381</v>
      </c>
    </row>
    <row r="7" spans="1:20" ht="18" customHeight="1" x14ac:dyDescent="0.3">
      <c r="A7" s="654">
        <v>0.11899999999999999</v>
      </c>
      <c r="B7" s="655">
        <f>('05b_DCF'!$C$11+('05a_FCFF'!$J$20*(1+0.02)/(0.119-0.02))/(1+0.119)^5-'05b_DCF'!$C$38)/'05b_DCF'!$C$20</f>
        <v>103.12948639838388</v>
      </c>
      <c r="C7" s="655">
        <f>('05b_DCF'!$C$11+('05a_FCFF'!$J$20*(1+0.025)/(0.119-0.025))/(1+0.119)^5-'05b_DCF'!$C$38)/'05b_DCF'!$C$20</f>
        <v>107.47368397931656</v>
      </c>
      <c r="D7" s="655">
        <f>('05b_DCF'!$C$11+('05a_FCFF'!$J$20*(1+0.03)/(0.119-0.03))/(1+0.119)^5-'05b_DCF'!$C$38)/'05b_DCF'!$C$20</f>
        <v>112.30599364799451</v>
      </c>
      <c r="E7" s="655">
        <f>('05b_DCF'!$C$11+('05a_FCFF'!$J$20*(1+0.035)/(0.119-0.035))/(1+0.119)^5-'05b_DCF'!$C$38)/'05b_DCF'!$C$20</f>
        <v>117.71357827722936</v>
      </c>
      <c r="F7" s="655">
        <f>('05b_DCF'!$C$11+('05a_FCFF'!$J$20*(1+0.04)/(0.119-0.04))/(1+0.119)^5-'05b_DCF'!$C$38)/'05b_DCF'!$C$20</f>
        <v>123.80566728991168</v>
      </c>
      <c r="G7" s="655">
        <f>('05b_DCF'!$C$11+('05a_FCFF'!$J$20*(1+0.045)/(0.119-0.045))/(1+0.119)^5-'05b_DCF'!$C$38)/'05b_DCF'!$C$20</f>
        <v>130.72101157457806</v>
      </c>
      <c r="H7" s="655">
        <f>('05b_DCF'!$C$11+('05a_FCFF'!$J$20*(1+0.05)/(0.119-0.05))/(1+0.119)^5-'05b_DCF'!$C$38)/'05b_DCF'!$C$20</f>
        <v>138.63857966861639</v>
      </c>
      <c r="I7" s="655">
        <f>('05b_DCF'!$C$11+('05a_FCFF'!$J$20*(1+0.055)/(0.119-0.055))/(1+0.119)^5-'05b_DCF'!$C$38)/'05b_DCF'!$C$20</f>
        <v>147.79326777734818</v>
      </c>
      <c r="J7" s="655">
        <f>('05b_DCF'!$C$11+('05a_FCFF'!$J$20*(1+0.06)/(0.119-0.06))/(1+0.119)^5-'05b_DCF'!$C$38)/'05b_DCF'!$C$20</f>
        <v>158.4995979384075</v>
      </c>
    </row>
    <row r="8" spans="1:20" ht="18" customHeight="1" x14ac:dyDescent="0.3">
      <c r="A8" s="656">
        <v>0.124</v>
      </c>
      <c r="B8" s="657">
        <f>('05b_DCF'!$C$11+('05a_FCFF'!$J$20*(1+0.02)/(0.124-0.02))/(1+0.124)^5-'05b_DCF'!$C$38)/'05b_DCF'!$C$20</f>
        <v>97.988138281650293</v>
      </c>
      <c r="C8" s="657">
        <f>('05b_DCF'!$C$11+('05a_FCFF'!$J$20*(1+0.025)/(0.124-0.025))/(1+0.124)^5-'05b_DCF'!$C$38)/'05b_DCF'!$C$20</f>
        <v>101.84522306165252</v>
      </c>
      <c r="D8" s="657">
        <f>('05b_DCF'!$C$11+('05a_FCFF'!$J$20*(1+0.03)/(0.124-0.03))/(1+0.124)^5-'05b_DCF'!$C$38)/'05b_DCF'!$C$20</f>
        <v>106.11263600974009</v>
      </c>
      <c r="E8" s="657">
        <f>('05b_DCF'!$C$11+('05a_FCFF'!$J$20*(1+0.035)/(0.124-0.035))/(1+0.124)^5-'05b_DCF'!$C$38)/'05b_DCF'!$C$20</f>
        <v>110.85953355873636</v>
      </c>
      <c r="F8" s="657">
        <f>('05b_DCF'!$C$11+('05a_FCFF'!$J$20*(1+0.04)/(0.124-0.04))/(1+0.124)^5-'05b_DCF'!$C$38)/'05b_DCF'!$C$20</f>
        <v>116.17153795880363</v>
      </c>
      <c r="G8" s="657">
        <f>('05b_DCF'!$C$11+('05a_FCFF'!$J$20*(1+0.045)/(0.124-0.045))/(1+0.124)^5-'05b_DCF'!$C$38)/'05b_DCF'!$C$20</f>
        <v>122.15594797913258</v>
      </c>
      <c r="H8" s="657">
        <f>('05b_DCF'!$C$11+('05a_FCFF'!$J$20*(1+0.05)/(0.124-0.05))/(1+0.124)^5-'05b_DCF'!$C$38)/'05b_DCF'!$C$20</f>
        <v>128.94906205626273</v>
      </c>
      <c r="I8" s="657">
        <f>('05b_DCF'!$C$11+('05a_FCFF'!$J$20*(1+0.055)/(0.124-0.055))/(1+0.124)^5-'05b_DCF'!$C$38)/'05b_DCF'!$C$20</f>
        <v>136.72668541993343</v>
      </c>
      <c r="J8" s="657">
        <f>('05b_DCF'!$C$11+('05a_FCFF'!$J$20*(1+0.06)/(0.124-0.06))/(1+0.124)^5-'05b_DCF'!$C$38)/'05b_DCF'!$C$20</f>
        <v>145.71956243417779</v>
      </c>
    </row>
    <row r="9" spans="1:20" ht="18" customHeight="1" x14ac:dyDescent="0.3">
      <c r="A9" s="658">
        <v>0.129</v>
      </c>
      <c r="B9" s="650">
        <f>('05b_DCF'!$C$11+('05a_FCFF'!$J$20*(1+0.02)/(0.129-0.02))/(1+0.129)^5-'05b_DCF'!$C$38)/'05b_DCF'!$C$20</f>
        <v>93.357731989368403</v>
      </c>
      <c r="C9" s="650">
        <f>('05b_DCF'!$C$11+('05a_FCFF'!$J$20*(1+0.025)/(0.129-0.025))/(1+0.129)^5-'05b_DCF'!$C$38)/'05b_DCF'!$C$20</f>
        <v>96.79930794433271</v>
      </c>
      <c r="D9" s="650">
        <f>('05b_DCF'!$C$11+('05a_FCFF'!$J$20*(1+0.03)/(0.129-0.03))/(1+0.129)^5-'05b_DCF'!$C$38)/'05b_DCF'!$C$20</f>
        <v>100.58851783414191</v>
      </c>
      <c r="E9" s="650">
        <f>('05b_DCF'!$C$11+('05a_FCFF'!$J$20*(1+0.035)/(0.129-0.035))/(1+0.129)^5-'05b_DCF'!$C$38)/'05b_DCF'!$C$20</f>
        <v>104.78083515903717</v>
      </c>
      <c r="F9" s="659">
        <f>('05b_DCF'!$C$11+('05a_FCFF'!$J$20*(1+0.04)/(0.129-0.04))/(1+0.129)^5-'05b_DCF'!$C$38)/'05b_DCF'!$C$20</f>
        <v>109.44419937437011</v>
      </c>
      <c r="G9" s="650">
        <f>('05b_DCF'!$C$11+('05a_FCFF'!$J$20*(1+0.045)/(0.129-0.045))/(1+0.129)^5-'05b_DCF'!$C$38)/'05b_DCF'!$C$20</f>
        <v>114.66272599629029</v>
      </c>
      <c r="H9" s="650">
        <f>('05b_DCF'!$C$11+('05a_FCFF'!$J$20*(1+0.05)/(0.129-0.05))/(1+0.129)^5-'05b_DCF'!$C$38)/'05b_DCF'!$C$20</f>
        <v>120.541825608327</v>
      </c>
      <c r="I9" s="650">
        <f>('05b_DCF'!$C$11+('05a_FCFF'!$J$20*(1+0.055)/(0.129-0.055))/(1+0.129)^5-'05b_DCF'!$C$38)/'05b_DCF'!$C$20</f>
        <v>127.21539814090916</v>
      </c>
      <c r="J9" s="650">
        <f>('05b_DCF'!$C$11+('05a_FCFF'!$J$20*(1+0.06)/(0.129-0.06))/(1+0.129)^5-'05b_DCF'!$C$38)/'05b_DCF'!$C$20</f>
        <v>134.85615509850325</v>
      </c>
      <c r="K9" s="292" t="s">
        <v>474</v>
      </c>
      <c r="L9" s="290"/>
      <c r="M9" s="290"/>
      <c r="N9" s="290"/>
      <c r="O9" s="290"/>
      <c r="P9" s="290"/>
    </row>
    <row r="10" spans="1:20" ht="18" customHeight="1" x14ac:dyDescent="0.3">
      <c r="A10" s="656">
        <v>0.13400000000000001</v>
      </c>
      <c r="B10" s="657">
        <f>('05b_DCF'!$C$11+('05a_FCFF'!$J$20*(1+0.02)/(0.134-0.02))/(1+0.134)^5-'05b_DCF'!$C$38)/'05b_DCF'!$C$20</f>
        <v>89.169889982129746</v>
      </c>
      <c r="C10" s="657">
        <f>('05b_DCF'!$C$11+('05a_FCFF'!$J$20*(1+0.025)/(0.134-0.025))/(1+0.134)^5-'05b_DCF'!$C$38)/'05b_DCF'!$C$20</f>
        <v>92.254564858026313</v>
      </c>
      <c r="D10" s="657">
        <f>('05b_DCF'!$C$11+('05a_FCFF'!$J$20*(1+0.03)/(0.134-0.03))/(1+0.134)^5-'05b_DCF'!$C$38)/'05b_DCF'!$C$20</f>
        <v>95.635843087374539</v>
      </c>
      <c r="E10" s="657">
        <f>('05b_DCF'!$C$11+('05a_FCFF'!$J$20*(1+0.035)/(0.134-0.035))/(1+0.134)^5-'05b_DCF'!$C$38)/'05b_DCF'!$C$20</f>
        <v>99.358664572212433</v>
      </c>
      <c r="F10" s="657">
        <f>('05b_DCF'!$C$11+('05a_FCFF'!$J$20*(1+0.04)/(0.134-0.04))/(1+0.134)^5-'05b_DCF'!$C$38)/'05b_DCF'!$C$20</f>
        <v>103.47753089586293</v>
      </c>
      <c r="G10" s="657">
        <f>('05b_DCF'!$C$11+('05a_FCFF'!$J$20*(1+0.045)/(0.134-0.045))/(1+0.134)^5-'05b_DCF'!$C$38)/'05b_DCF'!$C$20</f>
        <v>108.05919118846286</v>
      </c>
      <c r="H10" s="657">
        <f>('05b_DCF'!$C$11+('05a_FCFF'!$J$20*(1+0.05)/(0.134-0.05))/(1+0.134)^5-'05b_DCF'!$C$38)/'05b_DCF'!$C$20</f>
        <v>113.18628723018186</v>
      </c>
      <c r="I10" s="657">
        <f>('05b_DCF'!$C$11+('05a_FCFF'!$J$20*(1+0.055)/(0.134-0.055))/(1+0.134)^5-'05b_DCF'!$C$38)/'05b_DCF'!$C$20</f>
        <v>118.96238277085261</v>
      </c>
      <c r="J10" s="657">
        <f>('05b_DCF'!$C$11+('05a_FCFF'!$J$20*(1+0.06)/(0.134-0.06))/(1+0.134)^5-'05b_DCF'!$C$38)/'05b_DCF'!$C$20</f>
        <v>125.51903176296538</v>
      </c>
      <c r="K10" s="289"/>
      <c r="L10" s="289"/>
      <c r="M10" s="293" t="s">
        <v>475</v>
      </c>
      <c r="N10" s="293" t="s">
        <v>476</v>
      </c>
      <c r="O10" s="293" t="s">
        <v>477</v>
      </c>
      <c r="P10" s="293" t="s">
        <v>478</v>
      </c>
    </row>
    <row r="11" spans="1:20" ht="18" customHeight="1" x14ac:dyDescent="0.3">
      <c r="A11" s="654">
        <v>0.13900000000000001</v>
      </c>
      <c r="B11" s="655">
        <f>('05b_DCF'!$C$11+('05a_FCFF'!$J$20*(1+0.02)/(0.139-0.02))/(1+0.139)^5-'05b_DCF'!$C$38)/'05b_DCF'!$C$20</f>
        <v>85.367765039458007</v>
      </c>
      <c r="C11" s="655">
        <f>('05b_DCF'!$C$11+('05a_FCFF'!$J$20*(1+0.025)/(0.139-0.025))/(1+0.139)^5-'05b_DCF'!$C$38)/'05b_DCF'!$C$20</f>
        <v>88.143936304371138</v>
      </c>
      <c r="D11" s="655">
        <f>('05b_DCF'!$C$11+('05a_FCFF'!$J$20*(1+0.03)/(0.139-0.03))/(1+0.139)^5-'05b_DCF'!$C$38)/'05b_DCF'!$C$20</f>
        <v>91.174802180744223</v>
      </c>
      <c r="E11" s="655">
        <f>('05b_DCF'!$C$11+('05a_FCFF'!$J$20*(1+0.035)/(0.139-0.035))/(1+0.139)^5-'05b_DCF'!$C$38)/'05b_DCF'!$C$20</f>
        <v>94.497097468307018</v>
      </c>
      <c r="F11" s="655">
        <f>('05b_DCF'!$C$11+('05a_FCFF'!$J$20*(1+0.04)/(0.139-0.04))/(1+0.139)^5-'05b_DCF'!$C$38)/'05b_DCF'!$C$20</f>
        <v>98.154978138451938</v>
      </c>
      <c r="G11" s="655">
        <f>('05b_DCF'!$C$11+('05a_FCFF'!$J$20*(1+0.045)/(0.139-0.045))/(1+0.139)^5-'05b_DCF'!$C$38)/'05b_DCF'!$C$20</f>
        <v>102.20199505010157</v>
      </c>
      <c r="H11" s="655">
        <f>('05b_DCF'!$C$11+('05a_FCFF'!$J$20*(1+0.05)/(0.139-0.05))/(1+0.139)^5-'05b_DCF'!$C$38)/'05b_DCF'!$C$20</f>
        <v>106.70373296306022</v>
      </c>
      <c r="I11" s="655">
        <f>('05b_DCF'!$C$11+('05a_FCFF'!$J$20*(1+0.055)/(0.139-0.055))/(1+0.139)^5-'05b_DCF'!$C$38)/'05b_DCF'!$C$20</f>
        <v>111.74139205613297</v>
      </c>
      <c r="J11" s="655">
        <f>('05b_DCF'!$C$11+('05a_FCFF'!$J$20*(1+0.06)/(0.139-0.06))/(1+0.139)^5-'05b_DCF'!$C$38)/'05b_DCF'!$C$20</f>
        <v>117.41672951541747</v>
      </c>
      <c r="K11" s="291" t="s">
        <v>479</v>
      </c>
      <c r="L11" s="289"/>
      <c r="M11" s="294">
        <f>MIN('05b_DCF'!I30:I38)</f>
        <v>77.152824704138254</v>
      </c>
      <c r="N11" s="294">
        <f>M11</f>
        <v>77.152824704138254</v>
      </c>
      <c r="O11" s="294">
        <f>MAX('05b_DCF'!I30:I38)</f>
        <v>116.82761274712202</v>
      </c>
      <c r="P11" s="33">
        <f>O11</f>
        <v>116.82761274712202</v>
      </c>
    </row>
    <row r="12" spans="1:20" ht="18" customHeight="1" x14ac:dyDescent="0.3">
      <c r="A12" s="656">
        <v>0.14399999999999999</v>
      </c>
      <c r="B12" s="657">
        <f>('05b_DCF'!$C$11+('05a_FCFF'!$J$20*(1+0.02)/(0.144-0.02))/(1+0.144)^5-'05b_DCF'!$C$38)/'05b_DCF'!$C$20</f>
        <v>81.903714165714661</v>
      </c>
      <c r="C12" s="657">
        <f>('05b_DCF'!$C$11+('05a_FCFF'!$J$20*(1+0.025)/(0.144-0.025))/(1+0.144)^5-'05b_DCF'!$C$38)/'05b_DCF'!$C$20</f>
        <v>84.411671935472071</v>
      </c>
      <c r="D12" s="657">
        <f>('05b_DCF'!$C$11+('05a_FCFF'!$J$20*(1+0.03)/(0.144-0.03))/(1+0.144)^5-'05b_DCF'!$C$38)/'05b_DCF'!$C$20</f>
        <v>87.139626000822261</v>
      </c>
      <c r="E12" s="657">
        <f>('05b_DCF'!$C$11+('05a_FCFF'!$J$20*(1+0.035)/(0.144-0.035))/(1+0.144)^5-'05b_DCF'!$C$38)/'05b_DCF'!$C$20</f>
        <v>90.117851081342152</v>
      </c>
      <c r="F12" s="657">
        <f>('05b_DCF'!$C$11+('05a_FCFF'!$J$20*(1+0.04)/(0.144-0.04))/(1+0.144)^5-'05b_DCF'!$C$38)/'05b_DCF'!$C$20</f>
        <v>93.382443958065934</v>
      </c>
      <c r="G12" s="657">
        <f>('05b_DCF'!$C$11+('05a_FCFF'!$J$20*(1+0.045)/(0.144-0.045))/(1+0.144)^5-'05b_DCF'!$C$38)/'05b_DCF'!$C$20</f>
        <v>96.976793691024412</v>
      </c>
      <c r="H12" s="657">
        <f>('05b_DCF'!$C$11+('05a_FCFF'!$J$20*(1+0.05)/(0.144-0.05))/(1+0.144)^5-'05b_DCF'!$C$38)/'05b_DCF'!$C$20</f>
        <v>100.95352105514871</v>
      </c>
      <c r="I12" s="657">
        <f>('05b_DCF'!$C$11+('05a_FCFF'!$J$20*(1+0.055)/(0.144-0.055))/(1+0.144)^5-'05b_DCF'!$C$38)/'05b_DCF'!$C$20</f>
        <v>105.37707171861275</v>
      </c>
      <c r="J12" s="657">
        <f>('05b_DCF'!$C$11+('05a_FCFF'!$J$20*(1+0.06)/(0.144-0.06))/(1+0.144)^5-'05b_DCF'!$C$38)/'05b_DCF'!$C$20</f>
        <v>110.32723555629877</v>
      </c>
      <c r="K12" s="291" t="s">
        <v>480</v>
      </c>
      <c r="L12" s="289"/>
      <c r="M12" s="33">
        <f>MIN('05b_DCF'!M30:M38)</f>
        <v>87.477363573261599</v>
      </c>
      <c r="N12" s="294">
        <f>M12</f>
        <v>87.477363573261599</v>
      </c>
      <c r="O12" s="33">
        <f>MAX('05b_DCF'!M30:M38)</f>
        <v>144.0429914854069</v>
      </c>
      <c r="P12" s="33">
        <f>O12</f>
        <v>144.0429914854069</v>
      </c>
      <c r="T12" s="108"/>
    </row>
    <row r="13" spans="1:20" ht="18" customHeight="1" x14ac:dyDescent="0.3">
      <c r="A13" s="654">
        <v>0.14899999999999999</v>
      </c>
      <c r="B13" s="655">
        <f>('05b_DCF'!$C$11+('05a_FCFF'!$J$20*(1+0.02)/(0.149-0.02))/(1+0.149)^5-'05b_DCF'!$C$38)/'05b_DCF'!$C$20</f>
        <v>78.737513507540427</v>
      </c>
      <c r="C13" s="655">
        <f>('05b_DCF'!$C$11+('05a_FCFF'!$J$20*(1+0.025)/(0.149-0.025))/(1+0.149)^5-'05b_DCF'!$C$38)/'05b_DCF'!$C$20</f>
        <v>81.011047508544294</v>
      </c>
      <c r="D13" s="655">
        <f>('05b_DCF'!$C$11+('05a_FCFF'!$J$20*(1+0.03)/(0.149-0.03))/(1+0.149)^5-'05b_DCF'!$C$38)/'05b_DCF'!$C$20</f>
        <v>83.475634786943431</v>
      </c>
      <c r="E13" s="655">
        <f>('05b_DCF'!$C$11+('05a_FCFF'!$J$20*(1+0.035)/(0.149-0.035))/(1+0.149)^5-'05b_DCF'!$C$38)/'05b_DCF'!$C$20</f>
        <v>86.156413931868784</v>
      </c>
      <c r="F13" s="655">
        <f>('05b_DCF'!$C$11+('05a_FCFF'!$J$20*(1+0.04)/(0.149-0.04))/(1+0.149)^5-'05b_DCF'!$C$38)/'05b_DCF'!$C$20</f>
        <v>89.083136117613023</v>
      </c>
      <c r="G13" s="655">
        <f>('05b_DCF'!$C$11+('05a_FCFF'!$J$20*(1+0.045)/(0.149-0.045))/(1+0.149)^5-'05b_DCF'!$C$38)/'05b_DCF'!$C$20</f>
        <v>92.291273898140318</v>
      </c>
      <c r="H13" s="655">
        <f>('05b_DCF'!$C$11+('05a_FCFF'!$J$20*(1+0.05)/(0.149-0.05))/(1+0.149)^5-'05b_DCF'!$C$38)/'05b_DCF'!$C$20</f>
        <v>95.823465999933049</v>
      </c>
      <c r="I13" s="655">
        <f>('05b_DCF'!$C$11+('05a_FCFF'!$J$20*(1+0.055)/(0.149-0.055))/(1+0.149)^5-'05b_DCF'!$C$38)/'05b_DCF'!$C$20</f>
        <v>99.731423218937735</v>
      </c>
      <c r="J13" s="655">
        <f>('05b_DCF'!$C$11+('05a_FCFF'!$J$20*(1+0.06)/(0.149-0.06))/(1+0.149)^5-'05b_DCF'!$C$38)/'05b_DCF'!$C$20</f>
        <v>104.07847675468453</v>
      </c>
      <c r="K13" s="291" t="s">
        <v>481</v>
      </c>
      <c r="L13" s="289"/>
      <c r="M13" s="294">
        <f>MIN('05b_DCF'!Q30:Q38)</f>
        <v>102.43693672706432</v>
      </c>
      <c r="N13" s="294">
        <f>M13</f>
        <v>102.43693672706432</v>
      </c>
      <c r="O13" s="294">
        <f>MAX('05b_DCF'!Q30:Q38)</f>
        <v>193.42975819785462</v>
      </c>
      <c r="P13" s="33">
        <f>O13</f>
        <v>193.42975819785462</v>
      </c>
    </row>
    <row r="14" spans="1:20" x14ac:dyDescent="0.3">
      <c r="K14" s="291" t="s">
        <v>482</v>
      </c>
      <c r="L14" s="289"/>
      <c r="M14" s="294">
        <f>'17_ComparableAnalysis'!O25</f>
        <v>133.96459812903632</v>
      </c>
      <c r="N14" s="294">
        <f>M14</f>
        <v>133.96459812903632</v>
      </c>
      <c r="O14" s="294">
        <f>'17_ComparableAnalysis'!N25</f>
        <v>137.10837806405439</v>
      </c>
      <c r="P14" s="294">
        <f>O14</f>
        <v>137.10837806405439</v>
      </c>
    </row>
    <row r="15" spans="1:20" ht="19.95" customHeight="1" x14ac:dyDescent="0.3">
      <c r="A15" s="714" t="s">
        <v>483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0"/>
      <c r="N15" s="700"/>
      <c r="O15" s="700"/>
      <c r="P15" s="700"/>
      <c r="Q15" s="700"/>
      <c r="R15" s="700"/>
      <c r="S15" s="700"/>
    </row>
    <row r="16" spans="1:20" ht="18" customHeight="1" x14ac:dyDescent="0.3">
      <c r="A16" s="652" t="s">
        <v>473</v>
      </c>
      <c r="B16" s="653">
        <v>0.02</v>
      </c>
      <c r="C16" s="653">
        <v>2.5000000000000001E-2</v>
      </c>
      <c r="D16" s="653">
        <v>0.03</v>
      </c>
      <c r="E16" s="653">
        <v>3.5000000000000003E-2</v>
      </c>
      <c r="F16" s="653">
        <v>0.04</v>
      </c>
      <c r="G16" s="653">
        <v>4.4999999999999998E-2</v>
      </c>
      <c r="H16" s="653">
        <v>0.05</v>
      </c>
      <c r="I16" s="653">
        <v>5.5E-2</v>
      </c>
      <c r="J16" s="653">
        <v>0.06</v>
      </c>
    </row>
    <row r="17" spans="1:13" ht="18" customHeight="1" x14ac:dyDescent="0.3">
      <c r="A17" s="654">
        <v>0.109</v>
      </c>
      <c r="B17" s="660">
        <f>'05b_DCF'!$C$11+('05a_FCFF'!$J$20*(1+0.02)/(0.109-0.02))/(1+0.109)^5</f>
        <v>2768743.4589861762</v>
      </c>
      <c r="C17" s="660">
        <f>'05b_DCF'!$C$11+('05a_FCFF'!$J$20*(1+0.025)/(0.109-0.025))/(1+0.109)^5</f>
        <v>2904951.8177745366</v>
      </c>
      <c r="D17" s="660">
        <f>'05b_DCF'!$C$11+('05a_FCFF'!$J$20*(1+0.03)/(0.109-0.03))/(1+0.109)^5</f>
        <v>3058401.7409664872</v>
      </c>
      <c r="E17" s="660">
        <f>'05b_DCF'!$C$11+('05a_FCFF'!$J$20*(1+0.035)/(0.109-0.035))/(1+0.109)^5</f>
        <v>3232588.1402654578</v>
      </c>
      <c r="F17" s="660">
        <f>'05b_DCF'!$C$11+('05a_FCFF'!$J$20*(1+0.04)/(0.109-0.04))/(1+0.109)^5</f>
        <v>3432018.945259931</v>
      </c>
      <c r="G17" s="660">
        <f>'05b_DCF'!$C$11+('05a_FCFF'!$J$20*(1+0.045)/(0.109-0.045))/(1+0.109)^5</f>
        <v>3662610.813534792</v>
      </c>
      <c r="H17" s="660">
        <f>'05b_DCF'!$C$11+('05a_FCFF'!$J$20*(1+0.05)/(0.109-0.05))/(1+0.109)^5</f>
        <v>3932286.0493138665</v>
      </c>
      <c r="I17" s="660">
        <f>'05b_DCF'!$C$11+('05a_FCFF'!$J$20*(1+0.055)/(0.109-0.055))/(1+0.109)^5</f>
        <v>4251901.1435705461</v>
      </c>
      <c r="J17" s="660">
        <f>'05b_DCF'!$C$11+('05a_FCFF'!$J$20*(1+0.06)/(0.109-0.06))/(1+0.109)^5</f>
        <v>4636743.8080836916</v>
      </c>
    </row>
    <row r="18" spans="1:13" ht="18" customHeight="1" x14ac:dyDescent="0.3">
      <c r="A18" s="656">
        <v>0.114</v>
      </c>
      <c r="B18" s="661">
        <f>'05b_DCF'!$C$11+('05a_FCFF'!$J$20*(1+0.02)/(0.114-0.02))/(1+0.114)^5</f>
        <v>2612473.4917780343</v>
      </c>
      <c r="C18" s="661">
        <f>'05b_DCF'!$C$11+('05a_FCFF'!$J$20*(1+0.025)/(0.114-0.025))/(1+0.114)^5</f>
        <v>2732021.0235001915</v>
      </c>
      <c r="D18" s="661">
        <f>'05b_DCF'!$C$11+('05a_FCFF'!$J$20*(1+0.03)/(0.114-0.03))/(1+0.114)^5</f>
        <v>2865800.4042368913</v>
      </c>
      <c r="E18" s="661">
        <f>'05b_DCF'!$C$11+('05a_FCFF'!$J$20*(1+0.035)/(0.114-0.035))/(1+0.114)^5</f>
        <v>3016513.8838010202</v>
      </c>
      <c r="F18" s="661">
        <f>'05b_DCF'!$C$11+('05a_FCFF'!$J$20*(1+0.04)/(0.114-0.04))/(1+0.114)^5</f>
        <v>3187594.0497927354</v>
      </c>
      <c r="G18" s="661">
        <f>'05b_DCF'!$C$11+('05a_FCFF'!$J$20*(1+0.045)/(0.114-0.045))/(1+0.114)^5</f>
        <v>3383468.4427397712</v>
      </c>
      <c r="H18" s="661">
        <f>'05b_DCF'!$C$11+('05a_FCFF'!$J$20*(1+0.05)/(0.114-0.05))/(1+0.114)^5</f>
        <v>3609948.2095847814</v>
      </c>
      <c r="I18" s="661">
        <f>'05b_DCF'!$C$11+('05a_FCFF'!$J$20*(1+0.055)/(0.114-0.055))/(1+0.114)^5</f>
        <v>3874814.3775899629</v>
      </c>
      <c r="J18" s="661">
        <f>'05b_DCF'!$C$11+('05a_FCFF'!$J$20*(1+0.06)/(0.114-0.06))/(1+0.114)^5</f>
        <v>4188729.8359664748</v>
      </c>
      <c r="K18" s="594" t="s">
        <v>484</v>
      </c>
      <c r="L18" s="595"/>
      <c r="M18" s="595"/>
    </row>
    <row r="19" spans="1:13" ht="18" customHeight="1" x14ac:dyDescent="0.3">
      <c r="A19" s="654">
        <v>0.11899999999999999</v>
      </c>
      <c r="B19" s="660">
        <f>'05b_DCF'!$C$11+('05a_FCFF'!$J$20*(1+0.02)/(0.119-0.02))/(1+0.119)^5</f>
        <v>2473106.5194807281</v>
      </c>
      <c r="C19" s="660">
        <f>'05b_DCF'!$C$11+('05a_FCFF'!$J$20*(1+0.025)/(0.119-0.025))/(1+0.119)^5</f>
        <v>2578670.5206973925</v>
      </c>
      <c r="D19" s="660">
        <f>'05b_DCF'!$C$11+('05a_FCFF'!$J$20*(1+0.03)/(0.119-0.03))/(1+0.119)^5</f>
        <v>2696095.6456462666</v>
      </c>
      <c r="E19" s="660">
        <f>'05b_DCF'!$C$11+('05a_FCFF'!$J$20*(1+0.035)/(0.119-0.035))/(1+0.119)^5</f>
        <v>2827499.9521366735</v>
      </c>
      <c r="F19" s="660">
        <f>'05b_DCF'!$C$11+('05a_FCFF'!$J$20*(1+0.04)/(0.119-0.04))/(1+0.119)^5</f>
        <v>2975537.715144854</v>
      </c>
      <c r="G19" s="660">
        <f>'05b_DCF'!$C$11+('05a_FCFF'!$J$20*(1+0.045)/(0.119-0.045))/(1+0.119)^5</f>
        <v>3143580.5812622467</v>
      </c>
      <c r="H19" s="660">
        <f>'05b_DCF'!$C$11+('05a_FCFF'!$J$20*(1+0.05)/(0.119-0.05))/(1+0.119)^5</f>
        <v>3335977.4859473784</v>
      </c>
      <c r="I19" s="660">
        <f>'05b_DCF'!$C$11+('05a_FCFF'!$J$20*(1+0.055)/(0.119-0.055))/(1+0.119)^5</f>
        <v>3558436.4069895609</v>
      </c>
      <c r="J19" s="660">
        <f>'05b_DCF'!$C$11+('05a_FCFF'!$J$20*(1+0.06)/(0.119-0.06))/(1+0.119)^5</f>
        <v>3818600.2299033022</v>
      </c>
      <c r="K19" s="291" t="s">
        <v>485</v>
      </c>
      <c r="M19" s="596" t="s">
        <v>486</v>
      </c>
    </row>
    <row r="20" spans="1:13" ht="18" customHeight="1" x14ac:dyDescent="0.3">
      <c r="A20" s="656">
        <v>0.124</v>
      </c>
      <c r="B20" s="661">
        <f>'05b_DCF'!$C$11+('05a_FCFF'!$J$20*(1+0.02)/(0.124-0.02))/(1+0.124)^5</f>
        <v>2348171.7602441022</v>
      </c>
      <c r="C20" s="661">
        <f>'05b_DCF'!$C$11+('05a_FCFF'!$J$20*(1+0.025)/(0.124-0.025))/(1+0.124)^5</f>
        <v>2441898.9203981562</v>
      </c>
      <c r="D20" s="661">
        <f>'05b_DCF'!$C$11+('05a_FCFF'!$J$20*(1+0.03)/(0.124-0.03))/(1+0.124)^5</f>
        <v>2545597.055036684</v>
      </c>
      <c r="E20" s="661">
        <f>'05b_DCF'!$C$11+('05a_FCFF'!$J$20*(1+0.035)/(0.124-0.035))/(1+0.124)^5</f>
        <v>2660946.6654772935</v>
      </c>
      <c r="F20" s="661">
        <f>'05b_DCF'!$C$11+('05a_FCFF'!$J$20*(1+0.04)/(0.124-0.04))/(1+0.124)^5</f>
        <v>2790028.3723989283</v>
      </c>
      <c r="G20" s="661">
        <f>'05b_DCF'!$C$11+('05a_FCFF'!$J$20*(1+0.045)/(0.124-0.045))/(1+0.124)^5</f>
        <v>2935449.5358929215</v>
      </c>
      <c r="H20" s="661">
        <f>'05b_DCF'!$C$11+('05a_FCFF'!$J$20*(1+0.05)/(0.124-0.05))/(1+0.124)^5</f>
        <v>3100522.2079671845</v>
      </c>
      <c r="I20" s="661">
        <f>'05b_DCF'!$C$11+('05a_FCFF'!$J$20*(1+0.055)/(0.124-0.055))/(1+0.124)^5</f>
        <v>3289518.4557043826</v>
      </c>
      <c r="J20" s="661">
        <f>'05b_DCF'!$C$11+('05a_FCFF'!$J$20*(1+0.06)/(0.124-0.06))/(1+0.124)^5</f>
        <v>3508045.36715052</v>
      </c>
      <c r="K20" s="291" t="s">
        <v>487</v>
      </c>
      <c r="M20" s="593">
        <v>183</v>
      </c>
    </row>
    <row r="21" spans="1:13" ht="18" customHeight="1" x14ac:dyDescent="0.3">
      <c r="A21" s="658">
        <v>0.129</v>
      </c>
      <c r="B21" s="662">
        <f>'05b_DCF'!$C$11+('05a_FCFF'!$J$20*(1+0.02)/(0.129-0.02))/(1+0.129)^5</f>
        <v>2235652.8873416521</v>
      </c>
      <c r="C21" s="662">
        <f>'05b_DCF'!$C$11+('05a_FCFF'!$J$20*(1+0.025)/(0.129-0.025))/(1+0.129)^5</f>
        <v>2319283.1830472848</v>
      </c>
      <c r="D21" s="662">
        <f>'05b_DCF'!$C$11+('05a_FCFF'!$J$20*(1+0.03)/(0.129-0.03))/(1+0.129)^5</f>
        <v>2411360.9833696485</v>
      </c>
      <c r="E21" s="662">
        <f>'05b_DCF'!$C$11+('05a_FCFF'!$J$20*(1+0.035)/(0.129-0.035))/(1+0.129)^5</f>
        <v>2513234.2943646032</v>
      </c>
      <c r="F21" s="663">
        <f>'05b_DCF'!$C$11+('05a_FCFF'!$J$20*(1+0.04)/(0.129-0.04))/(1+0.129)^5</f>
        <v>2626554.0447971937</v>
      </c>
      <c r="G21" s="662">
        <f>'05b_DCF'!$C$11+('05a_FCFF'!$J$20*(1+0.045)/(0.129-0.045))/(1+0.129)^5</f>
        <v>2753364.241709854</v>
      </c>
      <c r="H21" s="662">
        <f>'05b_DCF'!$C$11+('05a_FCFF'!$J$20*(1+0.05)/(0.129-0.05))/(1+0.129)^5</f>
        <v>2896226.362282346</v>
      </c>
      <c r="I21" s="662">
        <f>'05b_DCF'!$C$11+('05a_FCFF'!$J$20*(1+0.055)/(0.129-0.055))/(1+0.129)^5</f>
        <v>3058394.1748240925</v>
      </c>
      <c r="J21" s="662">
        <f>'05b_DCF'!$C$11+('05a_FCFF'!$J$20*(1+0.06)/(0.129-0.06))/(1+0.129)^5</f>
        <v>3244064.5688936291</v>
      </c>
      <c r="K21" s="291" t="s">
        <v>488</v>
      </c>
      <c r="M21" s="177">
        <v>110</v>
      </c>
    </row>
    <row r="22" spans="1:13" ht="18" customHeight="1" x14ac:dyDescent="0.3">
      <c r="A22" s="656">
        <v>0.13400000000000001</v>
      </c>
      <c r="B22" s="661">
        <f>'05b_DCF'!$C$11+('05a_FCFF'!$J$20*(1+0.02)/(0.134-0.02))/(1+0.134)^5</f>
        <v>2133888.3265657527</v>
      </c>
      <c r="C22" s="661">
        <f>'05b_DCF'!$C$11+('05a_FCFF'!$J$20*(1+0.025)/(0.134-0.025))/(1+0.134)^5</f>
        <v>2208845.9260500395</v>
      </c>
      <c r="D22" s="661">
        <f>'05b_DCF'!$C$11+('05a_FCFF'!$J$20*(1+0.03)/(0.134-0.03))/(1+0.134)^5</f>
        <v>2291010.9870232013</v>
      </c>
      <c r="E22" s="661">
        <f>'05b_DCF'!$C$11+('05a_FCFF'!$J$20*(1+0.035)/(0.134-0.035))/(1+0.134)^5</f>
        <v>2381475.5491047623</v>
      </c>
      <c r="F22" s="661">
        <f>'05b_DCF'!$C$11+('05a_FCFF'!$J$20*(1+0.04)/(0.134-0.04))/(1+0.134)^5</f>
        <v>2481564.000769469</v>
      </c>
      <c r="G22" s="661">
        <f>'05b_DCF'!$C$11+('05a_FCFF'!$J$20*(1+0.045)/(0.134-0.045))/(1+0.134)^5</f>
        <v>2592898.3458796474</v>
      </c>
      <c r="H22" s="661">
        <f>'05b_DCF'!$C$11+('05a_FCFF'!$J$20*(1+0.05)/(0.134-0.05))/(1+0.134)^5</f>
        <v>2717486.7796934191</v>
      </c>
      <c r="I22" s="661">
        <f>'05b_DCF'!$C$11+('05a_FCFF'!$J$20*(1+0.055)/(0.134-0.055))/(1+0.134)^5</f>
        <v>2857845.9013317185</v>
      </c>
      <c r="J22" s="661">
        <f>'05b_DCF'!$C$11+('05a_FCFF'!$J$20*(1+0.06)/(0.134-0.06))/(1+0.134)^5</f>
        <v>3017172.4718400589</v>
      </c>
      <c r="K22" s="291" t="s">
        <v>489</v>
      </c>
      <c r="M22" s="122">
        <f>M21/M20-1</f>
        <v>-0.39890710382513661</v>
      </c>
    </row>
    <row r="23" spans="1:13" ht="18" customHeight="1" x14ac:dyDescent="0.3">
      <c r="A23" s="654">
        <v>0.13900000000000001</v>
      </c>
      <c r="B23" s="660">
        <f>'05b_DCF'!$C$11+('05a_FCFF'!$J$20*(1+0.02)/(0.139-0.02))/(1+0.139)^5</f>
        <v>2041496.6904588295</v>
      </c>
      <c r="C23" s="660">
        <f>'05b_DCF'!$C$11+('05a_FCFF'!$J$20*(1+0.025)/(0.139-0.025))/(1+0.139)^5</f>
        <v>2108957.6521962187</v>
      </c>
      <c r="D23" s="660">
        <f>'05b_DCF'!$C$11+('05a_FCFF'!$J$20*(1+0.03)/(0.139-0.03))/(1+0.139)^5</f>
        <v>2182607.6929920847</v>
      </c>
      <c r="E23" s="660">
        <f>'05b_DCF'!$C$11+('05a_FCFF'!$J$20*(1+0.035)/(0.139-0.035))/(1+0.139)^5</f>
        <v>2263339.4684798606</v>
      </c>
      <c r="F23" s="660">
        <f>'05b_DCF'!$C$11+('05a_FCFF'!$J$20*(1+0.04)/(0.139-0.04))/(1+0.139)^5</f>
        <v>2352225.9687643819</v>
      </c>
      <c r="G23" s="660">
        <f>'05b_DCF'!$C$11+('05a_FCFF'!$J$20*(1+0.045)/(0.139-0.045))/(1+0.139)^5</f>
        <v>2450568.4797174684</v>
      </c>
      <c r="H23" s="660">
        <f>'05b_DCF'!$C$11+('05a_FCFF'!$J$20*(1+0.05)/(0.139-0.05))/(1+0.139)^5</f>
        <v>2559960.7110023634</v>
      </c>
      <c r="I23" s="660">
        <f>'05b_DCF'!$C$11+('05a_FCFF'!$J$20*(1+0.055)/(0.139-0.055))/(1+0.139)^5</f>
        <v>2682375.826964031</v>
      </c>
      <c r="J23" s="660">
        <f>'05b_DCF'!$C$11+('05a_FCFF'!$J$20*(1+0.06)/(0.139-0.06))/(1+0.139)^5</f>
        <v>2820286.5272246446</v>
      </c>
    </row>
    <row r="24" spans="1:13" ht="18" customHeight="1" x14ac:dyDescent="0.3">
      <c r="A24" s="656">
        <v>0.14399999999999999</v>
      </c>
      <c r="B24" s="661">
        <f>'05b_DCF'!$C$11+('05a_FCFF'!$J$20*(1+0.02)/(0.144-0.02))/(1+0.144)^5</f>
        <v>1957320.2542268662</v>
      </c>
      <c r="C24" s="661">
        <f>'05b_DCF'!$C$11+('05a_FCFF'!$J$20*(1+0.025)/(0.144-0.025))/(1+0.144)^5</f>
        <v>2018263.6280319714</v>
      </c>
      <c r="D24" s="661">
        <f>'05b_DCF'!$C$11+('05a_FCFF'!$J$20*(1+0.03)/(0.144-0.03))/(1+0.144)^5</f>
        <v>2084552.9118199809</v>
      </c>
      <c r="E24" s="661">
        <f>'05b_DCF'!$C$11+('05a_FCFF'!$J$20*(1+0.035)/(0.144-0.035))/(1+0.144)^5</f>
        <v>2156923.7812766144</v>
      </c>
      <c r="F24" s="661">
        <f>'05b_DCF'!$C$11+('05a_FCFF'!$J$20*(1+0.04)/(0.144-0.04))/(1+0.144)^5</f>
        <v>2236253.3881810023</v>
      </c>
      <c r="G24" s="661">
        <f>'05b_DCF'!$C$11+('05a_FCFF'!$J$20*(1+0.045)/(0.144-0.045))/(1+0.144)^5</f>
        <v>2323596.0866918932</v>
      </c>
      <c r="H24" s="661">
        <f>'05b_DCF'!$C$11+('05a_FCFF'!$J$20*(1+0.05)/(0.144-0.05))/(1+0.144)^5</f>
        <v>2420230.5616401136</v>
      </c>
      <c r="I24" s="661">
        <f>'05b_DCF'!$C$11+('05a_FCFF'!$J$20*(1+0.055)/(0.144-0.055))/(1+0.144)^5</f>
        <v>2527722.84276229</v>
      </c>
      <c r="J24" s="661">
        <f>'05b_DCF'!$C$11+('05a_FCFF'!$J$20*(1+0.06)/(0.144-0.06))/(1+0.144)^5</f>
        <v>2648011.8240180602</v>
      </c>
      <c r="K24" s="291"/>
    </row>
    <row r="25" spans="1:13" ht="18" customHeight="1" x14ac:dyDescent="0.3">
      <c r="A25" s="654">
        <v>0.14899999999999999</v>
      </c>
      <c r="B25" s="660">
        <f>'05b_DCF'!$C$11+('05a_FCFF'!$J$20*(1+0.02)/(0.149-0.02))/(1+0.149)^5</f>
        <v>1880381.5782332323</v>
      </c>
      <c r="C25" s="660">
        <f>'05b_DCF'!$C$11+('05a_FCFF'!$J$20*(1+0.025)/(0.149-0.025))/(1+0.149)^5</f>
        <v>1935628.4544576262</v>
      </c>
      <c r="D25" s="660">
        <f>'05b_DCF'!$C$11+('05a_FCFF'!$J$20*(1+0.03)/(0.149-0.03))/(1+0.149)^5</f>
        <v>1995517.9253227254</v>
      </c>
      <c r="E25" s="660">
        <f>'05b_DCF'!$C$11+('05a_FCFF'!$J$20*(1+0.035)/(0.149-0.035))/(1+0.149)^5</f>
        <v>2060660.8585444116</v>
      </c>
      <c r="F25" s="660">
        <f>'05b_DCF'!$C$11+('05a_FCFF'!$J$20*(1+0.04)/(0.149-0.04))/(1+0.149)^5</f>
        <v>2131780.2076579966</v>
      </c>
      <c r="G25" s="660">
        <f>'05b_DCF'!$C$11+('05a_FCFF'!$J$20*(1+0.045)/(0.149-0.045))/(1+0.149)^5</f>
        <v>2209737.9557248098</v>
      </c>
      <c r="H25" s="660">
        <f>'05b_DCF'!$C$11+('05a_FCFF'!$J$20*(1+0.05)/(0.149-0.05))/(1+0.149)^5</f>
        <v>2295570.2237983732</v>
      </c>
      <c r="I25" s="660">
        <f>'05b_DCF'!$C$11+('05a_FCFF'!$J$20*(1+0.055)/(0.149-0.055))/(1+0.149)^5</f>
        <v>2390533.5842201868</v>
      </c>
      <c r="J25" s="660">
        <f>'05b_DCF'!$C$11+('05a_FCFF'!$J$20*(1+0.06)/(0.149-0.06))/(1+0.149)^5</f>
        <v>2496166.985138834</v>
      </c>
      <c r="K25" s="597"/>
    </row>
    <row r="26" spans="1:13" x14ac:dyDescent="0.3">
      <c r="C26" s="604" t="s">
        <v>490</v>
      </c>
      <c r="D26" s="90"/>
      <c r="E26" s="90" t="s">
        <v>491</v>
      </c>
      <c r="K26" s="601" t="s">
        <v>492</v>
      </c>
      <c r="L26" s="602" t="s">
        <v>493</v>
      </c>
    </row>
    <row r="27" spans="1:13" ht="16.05" customHeight="1" x14ac:dyDescent="0.3">
      <c r="A27" s="722" t="s">
        <v>494</v>
      </c>
      <c r="B27" s="700"/>
      <c r="C27" s="700"/>
      <c r="D27" s="700"/>
      <c r="E27" s="700"/>
      <c r="F27" s="700"/>
      <c r="G27" s="700"/>
      <c r="H27" s="700"/>
      <c r="I27" s="700"/>
      <c r="J27" s="700"/>
      <c r="K27" s="598" t="s">
        <v>495</v>
      </c>
      <c r="L27" s="598" t="s">
        <v>496</v>
      </c>
    </row>
    <row r="28" spans="1:13" x14ac:dyDescent="0.3">
      <c r="C28" s="604" t="s">
        <v>497</v>
      </c>
      <c r="D28" s="90"/>
      <c r="E28" s="90" t="s">
        <v>498</v>
      </c>
      <c r="K28" s="602" t="s">
        <v>499</v>
      </c>
      <c r="L28" s="602" t="s">
        <v>500</v>
      </c>
    </row>
    <row r="29" spans="1:13" x14ac:dyDescent="0.3">
      <c r="C29" s="604" t="s">
        <v>501</v>
      </c>
      <c r="D29" s="90"/>
      <c r="E29" s="90" t="s">
        <v>502</v>
      </c>
      <c r="K29" s="599">
        <v>36182</v>
      </c>
      <c r="L29" s="600">
        <v>36000</v>
      </c>
    </row>
    <row r="30" spans="1:13" x14ac:dyDescent="0.3">
      <c r="C30" s="604" t="s">
        <v>503</v>
      </c>
      <c r="D30" s="90"/>
      <c r="E30" s="90">
        <v>3.51</v>
      </c>
      <c r="K30" s="602" t="s">
        <v>504</v>
      </c>
      <c r="L30" s="602" t="s">
        <v>505</v>
      </c>
    </row>
    <row r="31" spans="1:13" x14ac:dyDescent="0.3">
      <c r="C31" s="604" t="s">
        <v>506</v>
      </c>
      <c r="D31" s="90"/>
      <c r="E31" s="90">
        <v>51.4</v>
      </c>
      <c r="K31" s="598" t="s">
        <v>507</v>
      </c>
      <c r="L31" s="598" t="s">
        <v>508</v>
      </c>
    </row>
    <row r="32" spans="1:13" x14ac:dyDescent="0.3">
      <c r="C32" s="604" t="s">
        <v>509</v>
      </c>
      <c r="D32" s="90"/>
      <c r="E32" s="90">
        <v>44.8</v>
      </c>
    </row>
    <row r="33" spans="3:5" x14ac:dyDescent="0.3">
      <c r="C33" s="604" t="s">
        <v>510</v>
      </c>
      <c r="D33" s="90"/>
      <c r="E33" s="90">
        <v>0.04</v>
      </c>
    </row>
    <row r="34" spans="3:5" x14ac:dyDescent="0.3">
      <c r="C34" s="604" t="s">
        <v>511</v>
      </c>
      <c r="D34" s="90"/>
      <c r="E34" s="603">
        <v>0.92</v>
      </c>
    </row>
  </sheetData>
  <mergeCells count="5">
    <mergeCell ref="A27:J27"/>
    <mergeCell ref="A1:S1"/>
    <mergeCell ref="A3:S3"/>
    <mergeCell ref="A15:S15"/>
    <mergeCell ref="A2:P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showGridLines="0" topLeftCell="A4" workbookViewId="0">
      <selection sqref="A1:G1"/>
    </sheetView>
  </sheetViews>
  <sheetFormatPr defaultRowHeight="14.4" x14ac:dyDescent="0.3"/>
  <cols>
    <col min="1" max="1" width="5" customWidth="1"/>
    <col min="2" max="2" width="30" customWidth="1"/>
    <col min="3" max="3" width="12" customWidth="1"/>
    <col min="4" max="4" width="13" customWidth="1"/>
    <col min="5" max="5" width="20" customWidth="1"/>
    <col min="6" max="6" width="50" customWidth="1"/>
    <col min="7" max="7" width="28" customWidth="1"/>
  </cols>
  <sheetData>
    <row r="1" spans="1:7" ht="30" customHeight="1" x14ac:dyDescent="0.3">
      <c r="A1" s="726" t="s">
        <v>512</v>
      </c>
      <c r="B1" s="700"/>
      <c r="C1" s="700"/>
      <c r="D1" s="700"/>
      <c r="E1" s="700"/>
      <c r="F1" s="700"/>
      <c r="G1" s="700"/>
    </row>
    <row r="2" spans="1:7" ht="30" customHeight="1" x14ac:dyDescent="0.3">
      <c r="A2" s="728" t="s">
        <v>513</v>
      </c>
      <c r="B2" s="700"/>
      <c r="C2" s="700"/>
      <c r="D2" s="700"/>
      <c r="E2" s="700"/>
      <c r="F2" s="700"/>
      <c r="G2" s="700"/>
    </row>
    <row r="4" spans="1:7" ht="22.05" customHeight="1" x14ac:dyDescent="0.3">
      <c r="A4" s="727" t="s">
        <v>514</v>
      </c>
      <c r="B4" s="700"/>
      <c r="C4" s="700"/>
      <c r="D4" s="700"/>
      <c r="E4" s="700"/>
      <c r="F4" s="700"/>
      <c r="G4" s="700"/>
    </row>
    <row r="5" spans="1:7" ht="19.95" customHeight="1" x14ac:dyDescent="0.3">
      <c r="A5" s="688" t="s">
        <v>515</v>
      </c>
      <c r="B5" s="688" t="s">
        <v>516</v>
      </c>
      <c r="C5" s="688" t="s">
        <v>517</v>
      </c>
      <c r="D5" s="688" t="s">
        <v>518</v>
      </c>
      <c r="E5" s="688" t="s">
        <v>519</v>
      </c>
      <c r="F5" s="688" t="s">
        <v>520</v>
      </c>
      <c r="G5" s="688" t="s">
        <v>521</v>
      </c>
    </row>
    <row r="6" spans="1:7" ht="75" customHeight="1" x14ac:dyDescent="0.3">
      <c r="A6" s="689" t="s">
        <v>522</v>
      </c>
      <c r="B6" s="689" t="s">
        <v>523</v>
      </c>
      <c r="C6" s="689" t="s">
        <v>524</v>
      </c>
      <c r="D6" s="689" t="s">
        <v>525</v>
      </c>
      <c r="E6" s="689" t="s">
        <v>526</v>
      </c>
      <c r="F6" s="690" t="s">
        <v>527</v>
      </c>
      <c r="G6" s="689" t="s">
        <v>528</v>
      </c>
    </row>
    <row r="7" spans="1:7" ht="75" customHeight="1" x14ac:dyDescent="0.3">
      <c r="A7" s="691" t="s">
        <v>529</v>
      </c>
      <c r="B7" s="691" t="s">
        <v>530</v>
      </c>
      <c r="C7" s="691" t="s">
        <v>524</v>
      </c>
      <c r="D7" s="691" t="s">
        <v>531</v>
      </c>
      <c r="E7" s="691" t="s">
        <v>532</v>
      </c>
      <c r="F7" s="692" t="s">
        <v>533</v>
      </c>
      <c r="G7" s="691" t="s">
        <v>534</v>
      </c>
    </row>
    <row r="8" spans="1:7" ht="75" customHeight="1" x14ac:dyDescent="0.3">
      <c r="A8" s="689" t="s">
        <v>535</v>
      </c>
      <c r="B8" s="689" t="s">
        <v>536</v>
      </c>
      <c r="C8" s="689" t="s">
        <v>537</v>
      </c>
      <c r="D8" s="689" t="s">
        <v>538</v>
      </c>
      <c r="E8" s="689" t="s">
        <v>539</v>
      </c>
      <c r="F8" s="690" t="s">
        <v>540</v>
      </c>
      <c r="G8" s="689" t="s">
        <v>541</v>
      </c>
    </row>
    <row r="11" spans="1:7" ht="22.05" customHeight="1" x14ac:dyDescent="0.3">
      <c r="A11" s="727" t="s">
        <v>542</v>
      </c>
      <c r="B11" s="700"/>
      <c r="C11" s="700"/>
      <c r="D11" s="700"/>
      <c r="E11" s="700"/>
      <c r="F11" s="700"/>
      <c r="G11" s="700"/>
    </row>
    <row r="12" spans="1:7" x14ac:dyDescent="0.3">
      <c r="A12" s="688" t="s">
        <v>515</v>
      </c>
      <c r="B12" s="688" t="s">
        <v>543</v>
      </c>
      <c r="C12" s="688" t="s">
        <v>544</v>
      </c>
      <c r="D12" s="688" t="s">
        <v>37</v>
      </c>
    </row>
    <row r="13" spans="1:7" ht="64.95" customHeight="1" x14ac:dyDescent="0.3">
      <c r="A13" s="690" t="s">
        <v>522</v>
      </c>
      <c r="B13" s="690" t="s">
        <v>545</v>
      </c>
      <c r="C13" s="690" t="s">
        <v>546</v>
      </c>
      <c r="D13" s="729" t="s">
        <v>547</v>
      </c>
      <c r="E13" s="730"/>
      <c r="F13" s="730"/>
      <c r="G13" s="731"/>
    </row>
    <row r="14" spans="1:7" ht="64.95" customHeight="1" x14ac:dyDescent="0.3">
      <c r="A14" s="692" t="s">
        <v>529</v>
      </c>
      <c r="B14" s="692" t="s">
        <v>548</v>
      </c>
      <c r="C14" s="692" t="s">
        <v>549</v>
      </c>
      <c r="D14" s="732" t="s">
        <v>550</v>
      </c>
      <c r="E14" s="730"/>
      <c r="F14" s="730"/>
      <c r="G14" s="731"/>
    </row>
    <row r="15" spans="1:7" ht="64.95" customHeight="1" x14ac:dyDescent="0.3">
      <c r="A15" s="690" t="s">
        <v>535</v>
      </c>
      <c r="B15" s="690" t="s">
        <v>551</v>
      </c>
      <c r="C15" s="690" t="s">
        <v>552</v>
      </c>
      <c r="D15" s="729" t="s">
        <v>553</v>
      </c>
      <c r="E15" s="730"/>
      <c r="F15" s="730"/>
      <c r="G15" s="731"/>
    </row>
  </sheetData>
  <mergeCells count="7">
    <mergeCell ref="A1:G1"/>
    <mergeCell ref="A4:G4"/>
    <mergeCell ref="A2:G2"/>
    <mergeCell ref="D15:G15"/>
    <mergeCell ref="D13:G13"/>
    <mergeCell ref="A11:G11"/>
    <mergeCell ref="D14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3"/>
  <sheetViews>
    <sheetView showGridLines="0" topLeftCell="A54" zoomScale="77" workbookViewId="0">
      <selection activeCell="B85" sqref="B85"/>
    </sheetView>
  </sheetViews>
  <sheetFormatPr defaultRowHeight="14.4" x14ac:dyDescent="0.3"/>
  <cols>
    <col min="1" max="1" width="73.33203125" bestFit="1" customWidth="1"/>
    <col min="2" max="2" width="13.44140625" customWidth="1"/>
    <col min="3" max="3" width="15.33203125" customWidth="1"/>
    <col min="4" max="4" width="14.5546875" customWidth="1"/>
    <col min="5" max="6" width="13.33203125" customWidth="1"/>
  </cols>
  <sheetData>
    <row r="1" spans="1:6" ht="21" customHeight="1" x14ac:dyDescent="0.35">
      <c r="A1" s="733" t="s">
        <v>186</v>
      </c>
      <c r="B1" s="700"/>
      <c r="C1" s="700"/>
      <c r="D1" s="700"/>
      <c r="E1" s="700"/>
      <c r="F1" s="700"/>
    </row>
    <row r="2" spans="1:6" ht="15.6" customHeight="1" x14ac:dyDescent="0.3">
      <c r="A2" s="3" t="s">
        <v>554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</row>
    <row r="3" spans="1:6" ht="15.6" customHeight="1" x14ac:dyDescent="0.3">
      <c r="A3" s="4" t="str">
        <f>'02_Historical_BS'!J4</f>
        <v>Cash &amp; Equivalents</v>
      </c>
      <c r="B3" s="322">
        <f>'02_Historical_BS'!O4</f>
        <v>2.9418915633357648E-2</v>
      </c>
      <c r="C3" s="322">
        <f>'02_Historical_BS'!N4</f>
        <v>4.5035870278588727E-2</v>
      </c>
      <c r="D3" s="322">
        <f>'02_Historical_BS'!M4</f>
        <v>8.2293234908455151E-2</v>
      </c>
      <c r="E3" s="322">
        <f>'02_Historical_BS'!L4</f>
        <v>0.11075949367088607</v>
      </c>
      <c r="F3" s="322">
        <f>'02_Historical_BS'!K4</f>
        <v>7.6961675970645418E-2</v>
      </c>
    </row>
    <row r="4" spans="1:6" ht="15.6" customHeight="1" x14ac:dyDescent="0.3">
      <c r="A4" s="4" t="str">
        <f>'02_Historical_BS'!J5</f>
        <v>Short-Term Investments</v>
      </c>
      <c r="B4" s="322">
        <f>'02_Historical_BS'!O5</f>
        <v>0.37213017957000449</v>
      </c>
      <c r="C4" s="322">
        <f>'02_Historical_BS'!N5</f>
        <v>0.43492429900196888</v>
      </c>
      <c r="D4" s="322">
        <f>'02_Historical_BS'!M5</f>
        <v>0.24056626681559906</v>
      </c>
      <c r="E4" s="322">
        <f>'02_Historical_BS'!L5</f>
        <v>0.28456669912366117</v>
      </c>
      <c r="F4" s="322">
        <f>'02_Historical_BS'!K5</f>
        <v>0.3102212345767511</v>
      </c>
    </row>
    <row r="5" spans="1:6" ht="15.6" customHeight="1" x14ac:dyDescent="0.3">
      <c r="A5" s="4" t="str">
        <f>'02_Historical_BS'!J6</f>
        <v>Cash &amp; Short-Term Investments</v>
      </c>
      <c r="B5" s="322">
        <f>'02_Historical_BS'!O6</f>
        <v>0.40154909520336218</v>
      </c>
      <c r="C5" s="322">
        <f>'02_Historical_BS'!N6</f>
        <v>0.47996016928055762</v>
      </c>
      <c r="D5" s="322">
        <f>'02_Historical_BS'!M6</f>
        <v>0.3228595017240542</v>
      </c>
      <c r="E5" s="322">
        <f>'02_Historical_BS'!L6</f>
        <v>0.39532619279454723</v>
      </c>
      <c r="F5" s="322">
        <f>'02_Historical_BS'!K6</f>
        <v>0.38718291054739651</v>
      </c>
    </row>
    <row r="6" spans="1:6" ht="15.6" customHeight="1" x14ac:dyDescent="0.3">
      <c r="A6" s="4" t="str">
        <f>'02_Historical_BS'!J7</f>
        <v>Receivables</v>
      </c>
      <c r="B6" s="322">
        <f>'02_Historical_BS'!O7</f>
        <v>8.4366642353513252E-2</v>
      </c>
      <c r="C6" s="322">
        <f>'02_Historical_BS'!N7</f>
        <v>0.10523457125398873</v>
      </c>
      <c r="D6" s="322">
        <f>'02_Historical_BS'!M7</f>
        <v>9.2928949541061623E-2</v>
      </c>
      <c r="E6" s="322">
        <f>'02_Historical_BS'!L7</f>
        <v>0.15212694741966895</v>
      </c>
      <c r="F6" s="322">
        <f>'02_Historical_BS'!K7</f>
        <v>0.20667377532459386</v>
      </c>
    </row>
    <row r="7" spans="1:6" ht="15.6" customHeight="1" x14ac:dyDescent="0.3">
      <c r="A7" s="4" t="str">
        <f>'02_Historical_BS'!J8</f>
        <v>Inventory</v>
      </c>
      <c r="B7" s="322">
        <f>'02_Historical_BS'!O8</f>
        <v>6.3422597339446357E-2</v>
      </c>
      <c r="C7" s="322">
        <f>'02_Historical_BS'!N8</f>
        <v>5.8953990992825944E-2</v>
      </c>
      <c r="D7" s="322">
        <f>'02_Historical_BS'!M8</f>
        <v>0.1252731776018649</v>
      </c>
      <c r="E7" s="322">
        <f>'02_Historical_BS'!L8</f>
        <v>8.0361489776046735E-2</v>
      </c>
      <c r="F7" s="322">
        <f>'02_Historical_BS'!K8</f>
        <v>9.0321771310292925E-2</v>
      </c>
    </row>
    <row r="8" spans="1:6" ht="15.6" customHeight="1" x14ac:dyDescent="0.3">
      <c r="A8" s="4" t="str">
        <f>'02_Historical_BS'!J9</f>
        <v>Prepaid Expenses</v>
      </c>
      <c r="B8" s="322">
        <f>'02_Historical_BS'!O9</f>
        <v>8.3012052377479072E-3</v>
      </c>
      <c r="C8" s="322">
        <f>'02_Historical_BS'!N9</f>
        <v>8.2829791567655651E-3</v>
      </c>
      <c r="D8" s="322">
        <f>'02_Historical_BS'!M9</f>
        <v>1.9207420717789324E-2</v>
      </c>
      <c r="E8" s="322">
        <f>'02_Historical_BS'!L9</f>
        <v>4.6859785783836413E-2</v>
      </c>
      <c r="F8" s="322">
        <f>'02_Historical_BS'!K9</f>
        <v>3.379001980268994E-2</v>
      </c>
    </row>
    <row r="9" spans="1:6" ht="15.6" customHeight="1" x14ac:dyDescent="0.3">
      <c r="A9" s="4" t="str">
        <f>'02_Historical_BS'!J10</f>
        <v>Total Current Assets</v>
      </c>
      <c r="B9" s="322">
        <f>'02_Historical_BS'!O10</f>
        <v>0.55763954013406969</v>
      </c>
      <c r="C9" s="322">
        <f>'02_Historical_BS'!N10</f>
        <v>0.65243171068413786</v>
      </c>
      <c r="D9" s="322">
        <f>'02_Historical_BS'!M10</f>
        <v>0.56026904958477008</v>
      </c>
      <c r="E9" s="322">
        <f>'02_Historical_BS'!L10</f>
        <v>0.67467441577409937</v>
      </c>
      <c r="F9" s="322">
        <f>'02_Historical_BS'!K10</f>
        <v>0.71796847698497324</v>
      </c>
    </row>
    <row r="10" spans="1:6" ht="15.6" customHeight="1" x14ac:dyDescent="0.3">
      <c r="A10" s="4" t="str">
        <f>'02_Historical_BS'!J11</f>
        <v>Property, Plant &amp; Equipment</v>
      </c>
      <c r="B10" s="322">
        <f>'02_Historical_BS'!O11</f>
        <v>7.4641380987114023E-2</v>
      </c>
      <c r="C10" s="322">
        <f>'02_Historical_BS'!N11</f>
        <v>6.2869169665286176E-2</v>
      </c>
      <c r="D10" s="322">
        <f>'02_Historical_BS'!M11</f>
        <v>9.2443300471079598E-2</v>
      </c>
      <c r="E10" s="322">
        <f>'02_Historical_BS'!L11</f>
        <v>5.954844206426485E-2</v>
      </c>
      <c r="F10" s="322">
        <f>'02_Historical_BS'!K11</f>
        <v>5.6298778684778811E-2</v>
      </c>
    </row>
    <row r="11" spans="1:6" ht="15.6" customHeight="1" x14ac:dyDescent="0.3">
      <c r="A11" s="4" t="str">
        <f>'02_Historical_BS'!J12</f>
        <v>Long-Term Investments</v>
      </c>
      <c r="B11" s="322">
        <f>'02_Historical_BS'!O12</f>
        <v>2.4556284950158037E-2</v>
      </c>
      <c r="C11" s="322">
        <f>'02_Historical_BS'!N12</f>
        <v>1.8761174100979928E-2</v>
      </c>
      <c r="D11" s="322">
        <f>'02_Historical_BS'!M12</f>
        <v>2.5205186732067408E-2</v>
      </c>
      <c r="E11" s="322">
        <f>'02_Historical_BS'!L12</f>
        <v>2.0478334956183057E-2</v>
      </c>
      <c r="F11" s="322">
        <f>'02_Historical_BS'!K12</f>
        <v>1.6066164281682064E-2</v>
      </c>
    </row>
    <row r="12" spans="1:6" ht="15.6" customHeight="1" x14ac:dyDescent="0.3">
      <c r="A12" s="4" t="str">
        <f>'02_Historical_BS'!J13</f>
        <v>Goodwill</v>
      </c>
      <c r="B12" s="322">
        <f>'02_Historical_BS'!O13</f>
        <v>0.14563578896182836</v>
      </c>
      <c r="C12" s="322">
        <f>'02_Historical_BS'!N13</f>
        <v>9.8422612985719776E-2</v>
      </c>
      <c r="D12" s="322">
        <f>'02_Historical_BS'!M13</f>
        <v>0.10616288669807197</v>
      </c>
      <c r="E12" s="322">
        <f>'02_Historical_BS'!L13</f>
        <v>6.739897760467381E-2</v>
      </c>
      <c r="F12" s="322">
        <f>'02_Historical_BS'!K13</f>
        <v>4.6487038646607109E-2</v>
      </c>
    </row>
    <row r="13" spans="1:6" ht="15.6" customHeight="1" x14ac:dyDescent="0.3">
      <c r="A13" s="4" t="str">
        <f>'02_Historical_BS'!J14</f>
        <v>Other Intangible Assets</v>
      </c>
      <c r="B13" s="322">
        <f>'02_Historical_BS'!O14</f>
        <v>9.506442985655239E-2</v>
      </c>
      <c r="C13" s="322">
        <f>'02_Historical_BS'!N14</f>
        <v>5.2934120895285944E-2</v>
      </c>
      <c r="D13" s="322">
        <f>'02_Historical_BS'!M14</f>
        <v>4.0697392064494194E-2</v>
      </c>
      <c r="E13" s="322">
        <f>'02_Historical_BS'!L14</f>
        <v>1.6918208373904578E-2</v>
      </c>
      <c r="F13" s="322">
        <f>'02_Historical_BS'!K14</f>
        <v>7.2311180007347603E-3</v>
      </c>
    </row>
    <row r="14" spans="1:6" ht="15.6" customHeight="1" x14ac:dyDescent="0.3">
      <c r="A14" s="4" t="str">
        <f>'02_Historical_BS'!J15</f>
        <v>Long-Term Deferred Tax Assets</v>
      </c>
      <c r="B14" s="322">
        <f>'02_Historical_BS'!O15</f>
        <v>2.7994859504706333E-2</v>
      </c>
      <c r="C14" s="322">
        <f>'02_Historical_BS'!N15</f>
        <v>2.7655192703736394E-2</v>
      </c>
      <c r="D14" s="322">
        <f>'02_Historical_BS'!M15</f>
        <v>8.2463212082948864E-2</v>
      </c>
      <c r="E14" s="322">
        <f>'02_Historical_BS'!L15</f>
        <v>9.2517648490749754E-2</v>
      </c>
      <c r="F14" s="322">
        <f>'02_Historical_BS'!K15</f>
        <v>9.8377254684097817E-2</v>
      </c>
    </row>
    <row r="15" spans="1:6" ht="15.6" customHeight="1" x14ac:dyDescent="0.3">
      <c r="A15" s="4" t="str">
        <f>'02_Historical_BS'!J16</f>
        <v>Other Long-Term Assets</v>
      </c>
      <c r="B15" s="322">
        <f>'02_Historical_BS'!O16</f>
        <v>7.446771560557118E-2</v>
      </c>
      <c r="C15" s="322">
        <f>'02_Historical_BS'!N16</f>
        <v>8.6926018964853913E-2</v>
      </c>
      <c r="D15" s="322">
        <f>'02_Historical_BS'!M16</f>
        <v>9.2758972366567924E-2</v>
      </c>
      <c r="E15" s="322">
        <f>'02_Historical_BS'!L16</f>
        <v>6.8463972736124631E-2</v>
      </c>
      <c r="F15" s="322">
        <f>'02_Historical_BS'!K16</f>
        <v>5.7571168717126191E-2</v>
      </c>
    </row>
    <row r="16" spans="1:6" ht="15.6" customHeight="1" x14ac:dyDescent="0.3">
      <c r="A16" s="551" t="str">
        <f>'02_Historical_BS'!J17</f>
        <v>Total Assets</v>
      </c>
      <c r="B16" s="552">
        <f>'02_Historical_BS'!O17</f>
        <v>1</v>
      </c>
      <c r="C16" s="552">
        <f>'02_Historical_BS'!N17</f>
        <v>1</v>
      </c>
      <c r="D16" s="552">
        <f>'02_Historical_BS'!M17</f>
        <v>1</v>
      </c>
      <c r="E16" s="552">
        <f>'02_Historical_BS'!L17</f>
        <v>1</v>
      </c>
      <c r="F16" s="552">
        <f>'02_Historical_BS'!K17</f>
        <v>1</v>
      </c>
    </row>
    <row r="17" spans="1:6" ht="15.6" customHeight="1" x14ac:dyDescent="0.3">
      <c r="A17" s="4" t="str">
        <f>'02_Historical_BS'!J18</f>
        <v>Accounts Payable</v>
      </c>
      <c r="B17" s="322">
        <f>'02_Historical_BS'!O18</f>
        <v>9.6570852244074634E-2</v>
      </c>
      <c r="C17" s="322">
        <f>'02_Historical_BS'!N18</f>
        <v>0.10145092460881934</v>
      </c>
      <c r="D17" s="322">
        <f>'02_Historical_BS'!M18</f>
        <v>6.2522928567685127E-2</v>
      </c>
      <c r="E17" s="322">
        <f>'02_Historical_BS'!L18</f>
        <v>0.11863736263736263</v>
      </c>
      <c r="F17" s="322">
        <f>'02_Historical_BS'!K18</f>
        <v>0.19551341637231207</v>
      </c>
    </row>
    <row r="18" spans="1:6" ht="15.6" customHeight="1" x14ac:dyDescent="0.3">
      <c r="A18" s="4" t="str">
        <f>'02_Historical_BS'!J19</f>
        <v>Accrued Expenses</v>
      </c>
      <c r="B18" s="322">
        <f>'02_Historical_BS'!O19</f>
        <v>2.4962178517397883E-2</v>
      </c>
      <c r="C18" s="322">
        <f>'02_Historical_BS'!N19</f>
        <v>2.3271692745376955E-2</v>
      </c>
      <c r="D18" s="322">
        <f>'02_Historical_BS'!M19</f>
        <v>2.777632199570253E-2</v>
      </c>
      <c r="E18" s="322">
        <f>'02_Historical_BS'!L19</f>
        <v>2.9670329670329669E-2</v>
      </c>
      <c r="F18" s="322">
        <f>'02_Historical_BS'!K19</f>
        <v>2.6275020140050814E-2</v>
      </c>
    </row>
    <row r="19" spans="1:6" ht="15.6" customHeight="1" x14ac:dyDescent="0.3">
      <c r="A19" s="4" t="str">
        <f>'02_Historical_BS'!J20</f>
        <v>Current Portion of Long-Term Debt</v>
      </c>
      <c r="B19" s="322">
        <f>'02_Historical_BS'!O20</f>
        <v>8.3963691376701968E-2</v>
      </c>
      <c r="C19" s="322">
        <f>'02_Historical_BS'!N20</f>
        <v>0</v>
      </c>
      <c r="D19" s="322">
        <f>'02_Historical_BS'!M20</f>
        <v>6.5510193386090876E-2</v>
      </c>
      <c r="E19" s="322">
        <f>'02_Historical_BS'!L20</f>
        <v>5.4945054945054944E-2</v>
      </c>
      <c r="F19" s="322">
        <f>'02_Historical_BS'!K20</f>
        <v>0</v>
      </c>
    </row>
    <row r="20" spans="1:6" ht="15.6" customHeight="1" x14ac:dyDescent="0.3">
      <c r="A20" s="4" t="str">
        <f>'02_Historical_BS'!J21</f>
        <v>Current Portion of Leases</v>
      </c>
      <c r="B20" s="274">
        <f>'02_Historical_BS'!O21</f>
        <v>0</v>
      </c>
      <c r="C20" s="322">
        <f>'02_Historical_BS'!N21</f>
        <v>8.1934566145092456E-3</v>
      </c>
      <c r="D20" s="322">
        <f>'02_Historical_BS'!M21</f>
        <v>9.2238352287615961E-3</v>
      </c>
      <c r="E20" s="322">
        <f>'02_Historical_BS'!L21</f>
        <v>1.0021978021978023E-2</v>
      </c>
      <c r="F20" s="322">
        <f>'02_Historical_BS'!K21</f>
        <v>8.9235917456776358E-3</v>
      </c>
    </row>
    <row r="21" spans="1:6" ht="15.6" customHeight="1" x14ac:dyDescent="0.3">
      <c r="A21" s="4" t="str">
        <f>'02_Historical_BS'!J22</f>
        <v>Current Income Taxes Payable</v>
      </c>
      <c r="B21" s="274">
        <f>'02_Historical_BS'!O22</f>
        <v>0</v>
      </c>
      <c r="C21" s="322">
        <f>'02_Historical_BS'!N22</f>
        <v>7.5106685633001425E-3</v>
      </c>
      <c r="D21" s="322">
        <f>'02_Historical_BS'!M22</f>
        <v>2.4474608249043552E-2</v>
      </c>
      <c r="E21" s="322">
        <f>'02_Historical_BS'!L22</f>
        <v>1.3010989010989011E-2</v>
      </c>
      <c r="F21" s="322">
        <f>'02_Historical_BS'!K22</f>
        <v>2.7297515027576377E-2</v>
      </c>
    </row>
    <row r="22" spans="1:6" ht="15.6" customHeight="1" x14ac:dyDescent="0.3">
      <c r="A22" s="4" t="str">
        <f>'02_Historical_BS'!J23</f>
        <v>Current Unearned Revenue</v>
      </c>
      <c r="B22" s="322">
        <f>'02_Historical_BS'!O23</f>
        <v>2.4205748865355523E-2</v>
      </c>
      <c r="C22" s="322">
        <f>'02_Historical_BS'!N23</f>
        <v>1.7069701280227598E-2</v>
      </c>
      <c r="D22" s="322">
        <f>'02_Historical_BS'!M23</f>
        <v>1.8552486766940934E-2</v>
      </c>
      <c r="E22" s="322">
        <f>'02_Historical_BS'!L23</f>
        <v>3.3582417582417583E-2</v>
      </c>
      <c r="F22" s="322">
        <f>'02_Historical_BS'!K23</f>
        <v>2.5934188510875627E-2</v>
      </c>
    </row>
    <row r="23" spans="1:6" ht="15.6" customHeight="1" x14ac:dyDescent="0.3">
      <c r="A23" s="4" t="str">
        <f>'02_Historical_BS'!J24</f>
        <v>Other Current Liabilities</v>
      </c>
      <c r="B23" s="322">
        <f>'02_Historical_BS'!O24</f>
        <v>0.1001849050260548</v>
      </c>
      <c r="C23" s="322">
        <f>'02_Historical_BS'!N24</f>
        <v>8.9160739687055471E-2</v>
      </c>
      <c r="D23" s="322">
        <f>'02_Historical_BS'!M24</f>
        <v>0.1358943451601069</v>
      </c>
      <c r="E23" s="322">
        <f>'02_Historical_BS'!L24</f>
        <v>0.20742857142857143</v>
      </c>
      <c r="F23" s="322">
        <f>'02_Historical_BS'!K24</f>
        <v>0.27523703290574458</v>
      </c>
    </row>
    <row r="24" spans="1:6" ht="15.6" customHeight="1" x14ac:dyDescent="0.3">
      <c r="A24" s="4" t="str">
        <f>'02_Historical_BS'!J25</f>
        <v>Total Current Liabilities</v>
      </c>
      <c r="B24" s="322">
        <f>'02_Historical_BS'!O25</f>
        <v>0.32988737602958479</v>
      </c>
      <c r="C24" s="322">
        <f>'02_Historical_BS'!N25</f>
        <v>0.24665718349928875</v>
      </c>
      <c r="D24" s="322">
        <f>'02_Historical_BS'!M25</f>
        <v>0.34395471935433153</v>
      </c>
      <c r="E24" s="322">
        <f>'02_Historical_BS'!L25</f>
        <v>0.46729670329670331</v>
      </c>
      <c r="F24" s="322">
        <f>'02_Historical_BS'!K25</f>
        <v>0.5591807647022371</v>
      </c>
    </row>
    <row r="25" spans="1:6" ht="15.6" customHeight="1" x14ac:dyDescent="0.3">
      <c r="A25" s="4" t="str">
        <f>'02_Historical_BS'!J26</f>
        <v>Long-Term Debt</v>
      </c>
      <c r="B25" s="322">
        <f>'02_Historical_BS'!O26</f>
        <v>0.50126071608673728</v>
      </c>
      <c r="C25" s="322">
        <f>'02_Historical_BS'!N26</f>
        <v>0.62281650071123751</v>
      </c>
      <c r="D25" s="322">
        <f>'02_Historical_BS'!M26</f>
        <v>0.50851632514019185</v>
      </c>
      <c r="E25" s="322">
        <f>'02_Historical_BS'!L26</f>
        <v>0.37182417582417582</v>
      </c>
      <c r="F25" s="322">
        <f>'02_Historical_BS'!K26</f>
        <v>0.26222346160996468</v>
      </c>
    </row>
    <row r="26" spans="1:6" ht="15.6" customHeight="1" x14ac:dyDescent="0.3">
      <c r="A26" s="4" t="str">
        <f>'02_Historical_BS'!J27</f>
        <v>Long-Term Leases</v>
      </c>
      <c r="B26" s="322">
        <f>'02_Historical_BS'!O27</f>
        <v>5.3286266599428478E-2</v>
      </c>
      <c r="C26" s="322">
        <f>'02_Historical_BS'!N27</f>
        <v>4.2162162162162162E-2</v>
      </c>
      <c r="D26" s="322">
        <f>'02_Historical_BS'!M27</f>
        <v>4.7272155547403175E-2</v>
      </c>
      <c r="E26" s="322">
        <f>'02_Historical_BS'!L27</f>
        <v>4.9186813186813186E-2</v>
      </c>
      <c r="F26" s="322">
        <f>'02_Historical_BS'!K27</f>
        <v>4.706574951973725E-2</v>
      </c>
    </row>
    <row r="27" spans="1:6" ht="15.6" customHeight="1" x14ac:dyDescent="0.3">
      <c r="A27" s="4" t="str">
        <f>'02_Historical_BS'!J28</f>
        <v>Long-Term Unearned Revenue</v>
      </c>
      <c r="B27" s="322">
        <f>'02_Historical_BS'!O28</f>
        <v>1.36997814758783E-2</v>
      </c>
      <c r="C27" s="322">
        <f>'02_Historical_BS'!N28</f>
        <v>1.1493598862019914E-2</v>
      </c>
      <c r="D27" s="322">
        <f>'02_Historical_BS'!M28</f>
        <v>1.1424977726534249E-2</v>
      </c>
      <c r="E27" s="322">
        <f>'02_Historical_BS'!L28</f>
        <v>2.5186813186813185E-2</v>
      </c>
      <c r="F27" s="322">
        <f>'02_Historical_BS'!K28</f>
        <v>3.0241060915907541E-2</v>
      </c>
    </row>
    <row r="28" spans="1:6" ht="15.6" customHeight="1" x14ac:dyDescent="0.3">
      <c r="A28" s="4" t="str">
        <f>'02_Historical_BS'!J29</f>
        <v>Long-Term Deferred Tax Liabilities</v>
      </c>
      <c r="B28" s="322">
        <f>'02_Historical_BS'!O29</f>
        <v>2.0255505126912085E-2</v>
      </c>
      <c r="C28" s="322">
        <f>'02_Historical_BS'!N29</f>
        <v>1.3940256045519203E-2</v>
      </c>
      <c r="D28" s="322">
        <f>'02_Historical_BS'!M29</f>
        <v>1.2944814213091557E-2</v>
      </c>
      <c r="E28" s="322">
        <f>'02_Historical_BS'!L29</f>
        <v>2.0307692307692308E-2</v>
      </c>
      <c r="F28" s="322">
        <f>'02_Historical_BS'!K29</f>
        <v>2.7452438495383282E-2</v>
      </c>
    </row>
    <row r="29" spans="1:6" ht="15.6" customHeight="1" x14ac:dyDescent="0.3">
      <c r="A29" s="4" t="str">
        <f>'02_Historical_BS'!J30</f>
        <v>Other Long-Term Liabilities</v>
      </c>
      <c r="B29" s="322">
        <f>'02_Historical_BS'!O30</f>
        <v>8.1610354681459066E-2</v>
      </c>
      <c r="C29" s="322">
        <f>'02_Historical_BS'!N30</f>
        <v>6.2930298719772404E-2</v>
      </c>
      <c r="D29" s="322">
        <f>'02_Historical_BS'!M30</f>
        <v>7.5887008018447666E-2</v>
      </c>
      <c r="E29" s="322">
        <f>'02_Historical_BS'!L30</f>
        <v>6.6197802197802191E-2</v>
      </c>
      <c r="F29" s="322">
        <f>'02_Historical_BS'!K30</f>
        <v>7.3836524756770161E-2</v>
      </c>
    </row>
    <row r="30" spans="1:6" ht="15.6" customHeight="1" x14ac:dyDescent="0.3">
      <c r="A30" s="551" t="str">
        <f>'02_Historical_BS'!J31</f>
        <v>Total Liabilities</v>
      </c>
      <c r="B30" s="552">
        <f>'02_Historical_BS'!O31</f>
        <v>1</v>
      </c>
      <c r="C30" s="552">
        <f>'02_Historical_BS'!N31</f>
        <v>1</v>
      </c>
      <c r="D30" s="552">
        <f>'02_Historical_BS'!M31</f>
        <v>1</v>
      </c>
      <c r="E30" s="552">
        <f>'02_Historical_BS'!L31</f>
        <v>1</v>
      </c>
      <c r="F30" s="552">
        <f>'02_Historical_BS'!K31</f>
        <v>1</v>
      </c>
    </row>
    <row r="31" spans="1:6" ht="15.6" customHeight="1" x14ac:dyDescent="0.3">
      <c r="A31" s="4" t="str">
        <f>'02_Historical_BS'!J32</f>
        <v>Common Stock</v>
      </c>
      <c r="B31" s="322">
        <f>'02_Historical_BS'!O32</f>
        <v>1.775883502042266E-4</v>
      </c>
      <c r="C31" s="322">
        <f>'02_Historical_BS'!N32</f>
        <v>1.127310987524425E-4</v>
      </c>
      <c r="D31" s="322">
        <f>'02_Historical_BS'!M32</f>
        <v>9.049364282159179E-5</v>
      </c>
      <c r="E31" s="322">
        <f>'02_Historical_BS'!L32</f>
        <v>5.8169295918842202E-4</v>
      </c>
      <c r="F31" s="322">
        <f>'02_Historical_BS'!K32</f>
        <v>3.0254516116832856E-4</v>
      </c>
    </row>
    <row r="32" spans="1:6" ht="15.6" customHeight="1" x14ac:dyDescent="0.3">
      <c r="A32" s="4" t="str">
        <f>'02_Historical_BS'!J33</f>
        <v>Additional Paid-In Capital</v>
      </c>
      <c r="B32" s="322">
        <f>'02_Historical_BS'!O33</f>
        <v>0.51613094181021724</v>
      </c>
      <c r="C32" s="322">
        <f>'02_Historical_BS'!N33</f>
        <v>0.3902374868480385</v>
      </c>
      <c r="D32" s="322">
        <f>'02_Historical_BS'!M33</f>
        <v>0.54164969910863758</v>
      </c>
      <c r="E32" s="322">
        <f>'02_Historical_BS'!L33</f>
        <v>0.30501652008004093</v>
      </c>
      <c r="F32" s="322">
        <f>'02_Historical_BS'!K33</f>
        <v>0.14165416566868783</v>
      </c>
    </row>
    <row r="33" spans="1:7" ht="15.6" customHeight="1" x14ac:dyDescent="0.3">
      <c r="A33" s="4" t="str">
        <f>'02_Historical_BS'!J34</f>
        <v>Retained Earnings</v>
      </c>
      <c r="B33" s="322">
        <f>'02_Historical_BS'!O34</f>
        <v>1.1192801752205055</v>
      </c>
      <c r="C33" s="322">
        <f>'02_Historical_BS'!N34</f>
        <v>0.61006312941530139</v>
      </c>
      <c r="D33" s="322">
        <f>'02_Historical_BS'!M34</f>
        <v>0.46020542056920499</v>
      </c>
      <c r="E33" s="322">
        <f>'02_Historical_BS'!L34</f>
        <v>0.69377355856484713</v>
      </c>
      <c r="F33" s="322">
        <f>'02_Historical_BS'!K34</f>
        <v>0.85769031981544741</v>
      </c>
    </row>
    <row r="34" spans="1:7" ht="15.6" customHeight="1" x14ac:dyDescent="0.3">
      <c r="A34" s="4" t="str">
        <f>'02_Historical_BS'!J35</f>
        <v>Treasury Stock</v>
      </c>
      <c r="B34" s="322">
        <f>'02_Historical_BS'!O35</f>
        <v>-0.63671343159888716</v>
      </c>
      <c r="C34" s="322">
        <f>'02_Historical_BS'!N35</f>
        <v>0</v>
      </c>
      <c r="D34" s="322">
        <f>'02_Historical_BS'!M35</f>
        <v>0</v>
      </c>
      <c r="E34" s="322">
        <f>'02_Historical_BS'!L35</f>
        <v>0</v>
      </c>
      <c r="F34" s="322">
        <f>'02_Historical_BS'!K35</f>
        <v>0</v>
      </c>
    </row>
    <row r="35" spans="1:7" ht="15.6" customHeight="1" x14ac:dyDescent="0.3">
      <c r="A35" s="4" t="str">
        <f>'02_Historical_BS'!J36</f>
        <v>Comprehensive Income &amp; Other</v>
      </c>
      <c r="B35" s="322">
        <f>'02_Historical_BS'!O36</f>
        <v>1.1247262179601017E-3</v>
      </c>
      <c r="C35" s="322">
        <f>'02_Historical_BS'!N36</f>
        <v>-4.133473620922892E-4</v>
      </c>
      <c r="D35" s="322">
        <f>'02_Historical_BS'!M36</f>
        <v>-1.9456133206642234E-3</v>
      </c>
      <c r="E35" s="322">
        <f>'02_Historical_BS'!L36</f>
        <v>6.2822839592349569E-4</v>
      </c>
      <c r="F35" s="322">
        <f>'02_Historical_BS'!K36</f>
        <v>3.5296935469638334E-4</v>
      </c>
    </row>
    <row r="36" spans="1:7" ht="15.6" customHeight="1" x14ac:dyDescent="0.3">
      <c r="A36" s="551" t="str">
        <f>'02_Historical_BS'!J37</f>
        <v>Shareholders' Equity</v>
      </c>
      <c r="B36" s="552">
        <f>'02_Historical_BS'!O37</f>
        <v>1</v>
      </c>
      <c r="C36" s="552">
        <f>'02_Historical_BS'!N37</f>
        <v>1</v>
      </c>
      <c r="D36" s="552">
        <f>'02_Historical_BS'!M37</f>
        <v>1</v>
      </c>
      <c r="E36" s="552">
        <f>'02_Historical_BS'!L37</f>
        <v>1</v>
      </c>
      <c r="F36" s="552">
        <f>'02_Historical_BS'!K37</f>
        <v>1</v>
      </c>
    </row>
    <row r="37" spans="1:7" ht="15.6" customHeight="1" x14ac:dyDescent="0.3">
      <c r="A37" s="4"/>
    </row>
    <row r="38" spans="1:7" ht="15.6" customHeight="1" x14ac:dyDescent="0.3">
      <c r="A38" s="4"/>
    </row>
    <row r="39" spans="1:7" ht="18" customHeight="1" x14ac:dyDescent="0.3">
      <c r="A39" s="709" t="s">
        <v>150</v>
      </c>
      <c r="B39" s="700"/>
      <c r="C39" s="700"/>
      <c r="D39" s="700"/>
      <c r="E39" s="700"/>
      <c r="F39" s="700"/>
      <c r="G39" s="700"/>
    </row>
    <row r="40" spans="1:7" ht="15.6" customHeight="1" x14ac:dyDescent="0.3">
      <c r="A40" s="332"/>
      <c r="B40" s="332">
        <v>2020</v>
      </c>
      <c r="C40" s="332">
        <v>2021</v>
      </c>
      <c r="D40" s="332">
        <v>2022</v>
      </c>
      <c r="E40" s="332">
        <v>2023</v>
      </c>
      <c r="F40" s="332">
        <v>2024</v>
      </c>
      <c r="G40" s="332">
        <v>2025</v>
      </c>
    </row>
    <row r="41" spans="1:7" ht="15.6" customHeight="1" x14ac:dyDescent="0.3">
      <c r="A41" s="41" t="s">
        <v>151</v>
      </c>
      <c r="B41" s="58">
        <f>'01_Historical_IS'!B3/'01_Historical_IS'!B3</f>
        <v>1</v>
      </c>
      <c r="C41" s="58">
        <f>'01_Historical_IS'!C3/'01_Historical_IS'!C3</f>
        <v>1</v>
      </c>
      <c r="D41" s="58">
        <f>'01_Historical_IS'!D3/'01_Historical_IS'!D3</f>
        <v>1</v>
      </c>
      <c r="E41" s="58">
        <f>'01_Historical_IS'!E3/'01_Historical_IS'!E3</f>
        <v>1</v>
      </c>
      <c r="F41" s="58">
        <f>'01_Historical_IS'!F3/'01_Historical_IS'!F3</f>
        <v>1</v>
      </c>
      <c r="G41" s="58">
        <f>'01_Historical_IS'!G3/'01_Historical_IS'!G3</f>
        <v>1</v>
      </c>
    </row>
    <row r="42" spans="1:7" ht="15.6" customHeight="1" x14ac:dyDescent="0.3">
      <c r="A42" s="42" t="s">
        <v>154</v>
      </c>
      <c r="B42" s="59">
        <f>'01_Historical_IS'!B4/'01_Historical_IS'!B3</f>
        <v>0.38010624656530501</v>
      </c>
      <c r="C42" s="59">
        <f>'01_Historical_IS'!C4/'01_Historical_IS'!C3</f>
        <v>0.37655172413793103</v>
      </c>
      <c r="D42" s="59">
        <f>'01_Historical_IS'!D4/'01_Historical_IS'!D3</f>
        <v>0.35070966783086871</v>
      </c>
      <c r="E42" s="59">
        <f>'01_Historical_IS'!E4/'01_Historical_IS'!E3</f>
        <v>0.43071105509008673</v>
      </c>
      <c r="F42" s="59">
        <f>'01_Historical_IS'!F4/'01_Historical_IS'!F3</f>
        <v>0.27282426709563046</v>
      </c>
      <c r="G42" s="59">
        <f>'01_Historical_IS'!G4/'01_Historical_IS'!G3</f>
        <v>0.25011302941830083</v>
      </c>
    </row>
    <row r="43" spans="1:7" ht="15.6" customHeight="1" x14ac:dyDescent="0.3">
      <c r="A43" s="42"/>
      <c r="B43" s="59"/>
      <c r="C43" s="59"/>
      <c r="D43" s="59"/>
      <c r="E43" s="4"/>
      <c r="F43" s="4"/>
      <c r="G43" s="4"/>
    </row>
    <row r="44" spans="1:7" ht="15.6" customHeight="1" x14ac:dyDescent="0.3">
      <c r="A44" s="333" t="s">
        <v>153</v>
      </c>
      <c r="B44" s="334">
        <f>'01_Historical_IS'!B5/'01_Historical_IS'!B3</f>
        <v>0.61989375343469499</v>
      </c>
      <c r="C44" s="334">
        <f>'01_Historical_IS'!C5/'01_Historical_IS'!C3</f>
        <v>0.62344827586206897</v>
      </c>
      <c r="D44" s="334">
        <f>'01_Historical_IS'!D5/'01_Historical_IS'!D3</f>
        <v>0.64929033216913135</v>
      </c>
      <c r="E44" s="334">
        <f>'01_Historical_IS'!E5/'01_Historical_IS'!E3</f>
        <v>0.56928894490991322</v>
      </c>
      <c r="F44" s="334">
        <f>'01_Historical_IS'!F5/'01_Historical_IS'!F3</f>
        <v>0.72717573290436954</v>
      </c>
      <c r="G44" s="334">
        <f>'01_Historical_IS'!G5/'01_Historical_IS'!G3</f>
        <v>0.74988697058169917</v>
      </c>
    </row>
    <row r="45" spans="1:7" ht="15.6" customHeight="1" x14ac:dyDescent="0.3">
      <c r="A45" s="43" t="s">
        <v>155</v>
      </c>
      <c r="B45" s="59"/>
      <c r="C45" s="59"/>
      <c r="D45" s="59"/>
      <c r="E45" s="4"/>
      <c r="F45" s="4"/>
      <c r="G45" s="4"/>
    </row>
    <row r="46" spans="1:7" ht="15.6" customHeight="1" x14ac:dyDescent="0.3">
      <c r="A46" s="41" t="s">
        <v>156</v>
      </c>
      <c r="B46" s="119">
        <f>'01_Historical_IS'!B8/'01_Historical_IS'!B3</f>
        <v>0.25911339073090311</v>
      </c>
      <c r="C46" s="119">
        <f>'01_Historical_IS'!C8/'01_Historical_IS'!C3</f>
        <v>0.2353223388305847</v>
      </c>
      <c r="D46" s="119">
        <f>'01_Historical_IS'!D8/'01_Historical_IS'!D3</f>
        <v>0.19573456193802483</v>
      </c>
      <c r="E46" s="119">
        <f>'01_Historical_IS'!E8/'01_Historical_IS'!E3</f>
        <v>0.27207681471046191</v>
      </c>
      <c r="F46" s="119">
        <f>'01_Historical_IS'!F8/'01_Historical_IS'!F3</f>
        <v>0.14239519385443683</v>
      </c>
      <c r="G46" s="119">
        <f>'01_Historical_IS'!G8/'01_Historical_IS'!G3</f>
        <v>9.8960129351632606E-2</v>
      </c>
    </row>
    <row r="47" spans="1:7" ht="15.6" customHeight="1" x14ac:dyDescent="0.3">
      <c r="A47" s="42" t="s">
        <v>157</v>
      </c>
      <c r="B47" s="335">
        <f>'01_Historical_IS'!B9/'01_Historical_IS'!B3</f>
        <v>0.10010991023997069</v>
      </c>
      <c r="C47" s="335">
        <f>'01_Historical_IS'!C9/'01_Historical_IS'!C3</f>
        <v>0.11634182908545727</v>
      </c>
      <c r="D47" s="335">
        <f>'01_Historical_IS'!D9/'01_Historical_IS'!D3</f>
        <v>8.0478561343538674E-2</v>
      </c>
      <c r="E47" s="335">
        <f>'01_Historical_IS'!E9/'01_Historical_IS'!E3</f>
        <v>9.0457477570994288E-2</v>
      </c>
      <c r="F47" s="335">
        <f>'01_Historical_IS'!F9/'01_Historical_IS'!F3</f>
        <v>4.3563901382095135E-2</v>
      </c>
      <c r="G47" s="335">
        <f>'01_Historical_IS'!G9/'01_Historical_IS'!G3</f>
        <v>2.6751572833091947E-2</v>
      </c>
    </row>
    <row r="48" spans="1:7" ht="15.6" customHeight="1" x14ac:dyDescent="0.3">
      <c r="A48" s="41" t="s">
        <v>158</v>
      </c>
      <c r="B48" s="121"/>
      <c r="C48" s="121"/>
      <c r="D48" s="121"/>
      <c r="E48" s="121"/>
      <c r="F48" s="121"/>
      <c r="G48" s="121"/>
    </row>
    <row r="49" spans="1:7" ht="15.6" customHeight="1" x14ac:dyDescent="0.3">
      <c r="A49" s="6" t="s">
        <v>159</v>
      </c>
      <c r="B49" s="326">
        <f>'01_Historical_IS'!B11/'01_Historical_IS'!B3</f>
        <v>0.35922330097087379</v>
      </c>
      <c r="C49" s="326">
        <f>'01_Historical_IS'!C11/'01_Historical_IS'!C3</f>
        <v>0.35166416791604199</v>
      </c>
      <c r="D49" s="326">
        <f>'01_Historical_IS'!D11/'01_Historical_IS'!D3</f>
        <v>0.2762131232815635</v>
      </c>
      <c r="E49" s="326">
        <f>'01_Historical_IS'!E11/'01_Historical_IS'!E3</f>
        <v>0.41269370504930675</v>
      </c>
      <c r="F49" s="326">
        <f>'01_Historical_IS'!F11/'01_Historical_IS'!F3</f>
        <v>0.18595909523653195</v>
      </c>
      <c r="G49" s="326">
        <f>'01_Historical_IS'!G11/'01_Historical_IS'!G3</f>
        <v>0.12571170218472455</v>
      </c>
    </row>
    <row r="50" spans="1:7" ht="15.6" customHeight="1" x14ac:dyDescent="0.3">
      <c r="A50" s="333" t="s">
        <v>161</v>
      </c>
      <c r="B50" s="336">
        <f>'01_Historical_IS'!B12/'01_Historical_IS'!B3</f>
        <v>0.2606704524638212</v>
      </c>
      <c r="C50" s="336">
        <f>'01_Historical_IS'!C12/'01_Historical_IS'!C3</f>
        <v>0.27178410794602698</v>
      </c>
      <c r="D50" s="336">
        <f>'01_Historical_IS'!D12/'01_Historical_IS'!D3</f>
        <v>0.37307720888756779</v>
      </c>
      <c r="E50" s="336">
        <f>'01_Historical_IS'!E12/'01_Historical_IS'!E3</f>
        <v>0.1565952398606065</v>
      </c>
      <c r="F50" s="336">
        <f>'01_Historical_IS'!F12/'01_Historical_IS'!F3</f>
        <v>0.54121663766783756</v>
      </c>
      <c r="G50" s="336">
        <f>'01_Historical_IS'!G12/'01_Historical_IS'!G3</f>
        <v>0.62417526839697468</v>
      </c>
    </row>
    <row r="51" spans="1:7" ht="15.6" customHeight="1" x14ac:dyDescent="0.3">
      <c r="A51" s="42" t="s">
        <v>163</v>
      </c>
      <c r="B51" s="119">
        <f>'01_Historical_IS'!B15/'01_Historical_IS'!B3</f>
        <v>1.6303352262319108E-2</v>
      </c>
      <c r="C51" s="119">
        <f>'01_Historical_IS'!C15/'01_Historical_IS'!C3</f>
        <v>3.4182908545727139E-3</v>
      </c>
      <c r="D51" s="119">
        <f>'01_Historical_IS'!D15/'01_Historical_IS'!D3</f>
        <v>1.0775061306383296E-3</v>
      </c>
      <c r="E51" s="119">
        <f>'01_Historical_IS'!E15/'01_Historical_IS'!E3</f>
        <v>9.8984207014161784E-3</v>
      </c>
      <c r="F51" s="119">
        <f>'01_Historical_IS'!F15/'01_Historical_IS'!F3</f>
        <v>1.421489773809133E-2</v>
      </c>
      <c r="G51" s="119">
        <f>'01_Historical_IS'!G15/'01_Historical_IS'!G3</f>
        <v>1.3686138378660046E-2</v>
      </c>
    </row>
    <row r="52" spans="1:7" ht="15.6" customHeight="1" x14ac:dyDescent="0.3">
      <c r="A52" s="41" t="s">
        <v>164</v>
      </c>
      <c r="B52" s="121">
        <f>'01_Historical_IS'!B16/'01_Historical_IS'!B3</f>
        <v>-4.7627770653965928E-3</v>
      </c>
      <c r="C52" s="121">
        <f>'01_Historical_IS'!C16/'01_Historical_IS'!C3</f>
        <v>-1.1034482758620689E-2</v>
      </c>
      <c r="D52" s="121">
        <f>'01_Historical_IS'!D16/'01_Historical_IS'!D3</f>
        <v>-8.7686705803670956E-3</v>
      </c>
      <c r="E52" s="121">
        <f>'01_Historical_IS'!E16/'01_Historical_IS'!E3</f>
        <v>-9.7130570178690593E-3</v>
      </c>
      <c r="F52" s="121">
        <f>'01_Historical_IS'!F16/'01_Historical_IS'!F3</f>
        <v>-4.2185089130363411E-3</v>
      </c>
      <c r="G52" s="121">
        <f>'01_Historical_IS'!G16/'01_Historical_IS'!G3</f>
        <v>-1.8927638183253255E-3</v>
      </c>
    </row>
    <row r="53" spans="1:7" ht="15.6" customHeight="1" x14ac:dyDescent="0.3">
      <c r="A53" s="42" t="s">
        <v>165</v>
      </c>
      <c r="B53" s="119">
        <f>'01_Historical_IS'!B17/'01_Historical_IS'!B3</f>
        <v>-1.8318373328448433E-4</v>
      </c>
      <c r="C53" s="119">
        <f>'01_Historical_IS'!C17/'01_Historical_IS'!C3</f>
        <v>2.39880059970015E-4</v>
      </c>
      <c r="D53" s="119">
        <f>'01_Historical_IS'!D17/'01_Historical_IS'!D3</f>
        <v>3.9756260682172846E-3</v>
      </c>
      <c r="E53" s="119">
        <f>'01_Historical_IS'!E17/'01_Historical_IS'!E3</f>
        <v>-1.7794913620523467E-3</v>
      </c>
      <c r="F53" s="119">
        <f>'01_Historical_IS'!F17/'01_Historical_IS'!F3</f>
        <v>3.8902202816716459E-3</v>
      </c>
      <c r="G53" s="119">
        <f>'01_Historical_IS'!G17/'01_Historical_IS'!G3</f>
        <v>7.923553798171605E-3</v>
      </c>
    </row>
    <row r="54" spans="1:7" ht="15.6" customHeight="1" x14ac:dyDescent="0.3">
      <c r="A54" s="46" t="s">
        <v>166</v>
      </c>
      <c r="B54" s="327">
        <f>'01_Historical_IS'!B18/'01_Historical_IS'!B3</f>
        <v>1.1357391463638029E-2</v>
      </c>
      <c r="C54" s="327">
        <f>'01_Historical_IS'!C18/'01_Historical_IS'!C3</f>
        <v>-7.3763118440779612E-3</v>
      </c>
      <c r="D54" s="327">
        <f>'01_Historical_IS'!D18/'01_Historical_IS'!D3</f>
        <v>-3.7155383815114808E-3</v>
      </c>
      <c r="E54" s="327">
        <f>'01_Historical_IS'!E18/'01_Historical_IS'!E3</f>
        <v>-1.5941276785052274E-3</v>
      </c>
      <c r="F54" s="327">
        <f>'01_Historical_IS'!F18/'01_Historical_IS'!F3</f>
        <v>1.3886609106726634E-2</v>
      </c>
      <c r="G54" s="327">
        <f>'01_Historical_IS'!G18/'01_Historical_IS'!G3</f>
        <v>1.9716928358506327E-2</v>
      </c>
    </row>
    <row r="55" spans="1:7" ht="15.6" customHeight="1" x14ac:dyDescent="0.3">
      <c r="A55" s="31" t="s">
        <v>379</v>
      </c>
      <c r="B55" s="337">
        <f>'01_Historical_IS'!B19/'01_Historical_IS'!B3</f>
        <v>0.27202784392745927</v>
      </c>
      <c r="C55" s="337">
        <f>'01_Historical_IS'!C19/'01_Historical_IS'!C3</f>
        <v>0.26440779610194903</v>
      </c>
      <c r="D55" s="337">
        <f>'01_Historical_IS'!D19/'01_Historical_IS'!D3</f>
        <v>0.36936167050605634</v>
      </c>
      <c r="E55" s="337">
        <f>'01_Historical_IS'!E19/'01_Historical_IS'!E3</f>
        <v>0.15500111218210127</v>
      </c>
      <c r="F55" s="337">
        <f>'01_Historical_IS'!F19/'01_Historical_IS'!F3</f>
        <v>0.55510324677456424</v>
      </c>
      <c r="G55" s="337">
        <f>'01_Historical_IS'!G19/'01_Historical_IS'!G3</f>
        <v>0.64389219675548093</v>
      </c>
    </row>
    <row r="56" spans="1:7" ht="15.6" customHeight="1" x14ac:dyDescent="0.3">
      <c r="A56" s="41" t="s">
        <v>168</v>
      </c>
      <c r="B56" s="121">
        <f>'01_Historical_IS'!B20/'01_Historical_IS'!B3</f>
        <v>1.5936984795750137E-2</v>
      </c>
      <c r="C56" s="121">
        <f>'01_Historical_IS'!C20/'01_Historical_IS'!C3</f>
        <v>4.6176911544227889E-3</v>
      </c>
      <c r="D56" s="121">
        <f>'01_Historical_IS'!D20/'01_Historical_IS'!D3</f>
        <v>7.0223675410566993E-3</v>
      </c>
      <c r="E56" s="121">
        <f>'01_Historical_IS'!E20/'01_Historical_IS'!E3</f>
        <v>-6.9326017646622676E-3</v>
      </c>
      <c r="F56" s="121">
        <f>'01_Historical_IS'!F20/'01_Historical_IS'!F3</f>
        <v>6.6609763303896785E-2</v>
      </c>
      <c r="G56" s="121">
        <f>'01_Historical_IS'!G20/'01_Historical_IS'!G3</f>
        <v>8.5411925178356593E-2</v>
      </c>
    </row>
    <row r="57" spans="1:7" ht="15.6" customHeight="1" x14ac:dyDescent="0.3">
      <c r="A57" s="30" t="s">
        <v>170</v>
      </c>
      <c r="B57" s="338">
        <f>'01_Historical_IS'!B21/'01_Historical_IS'!B3</f>
        <v>0.25609085913170909</v>
      </c>
      <c r="C57" s="338">
        <f>'01_Historical_IS'!C21/'01_Historical_IS'!C3</f>
        <v>0.25979010494752625</v>
      </c>
      <c r="D57" s="338">
        <f>'01_Historical_IS'!D21/'01_Historical_IS'!D3</f>
        <v>0.36233930296499961</v>
      </c>
      <c r="E57" s="338">
        <f>'01_Historical_IS'!E21/'01_Historical_IS'!E3</f>
        <v>0.16193371394676356</v>
      </c>
      <c r="F57" s="338">
        <f>'01_Historical_IS'!F21/'01_Historical_IS'!F3</f>
        <v>0.4884934834706674</v>
      </c>
      <c r="G57" s="338">
        <f>'01_Historical_IS'!G21/'01_Historical_IS'!G3</f>
        <v>0.55848027157712443</v>
      </c>
    </row>
    <row r="58" spans="1:7" ht="15.6" customHeight="1" x14ac:dyDescent="0.3">
      <c r="A58" s="4"/>
      <c r="B58" s="4"/>
      <c r="C58" s="4"/>
      <c r="D58" s="4"/>
      <c r="E58" s="4"/>
      <c r="F58" s="4"/>
      <c r="G58" s="4"/>
    </row>
    <row r="60" spans="1:7" ht="18" customHeight="1" x14ac:dyDescent="0.35">
      <c r="A60" s="711" t="s">
        <v>555</v>
      </c>
      <c r="B60" s="700"/>
      <c r="C60" s="700"/>
      <c r="D60" s="700"/>
      <c r="E60" s="320"/>
      <c r="F60" s="320"/>
    </row>
    <row r="61" spans="1:7" ht="15.6" customHeight="1" x14ac:dyDescent="0.3">
      <c r="A61" s="3" t="s">
        <v>554</v>
      </c>
      <c r="B61" s="3">
        <v>2023</v>
      </c>
      <c r="C61" s="3">
        <v>2024</v>
      </c>
      <c r="D61" s="3">
        <v>2025</v>
      </c>
      <c r="E61" s="12">
        <v>2024</v>
      </c>
      <c r="F61" s="12">
        <v>2025</v>
      </c>
    </row>
    <row r="62" spans="1:7" ht="15.6" customHeight="1" x14ac:dyDescent="0.3">
      <c r="A62" s="4" t="str">
        <f>'03_Historical_CF'!I4</f>
        <v>Net income</v>
      </c>
      <c r="B62" s="322">
        <f>'03_Historical_CF'!J4</f>
        <v>0.16193371394676356</v>
      </c>
      <c r="C62" s="322">
        <f>'03_Historical_CF'!K4</f>
        <v>0.4884934834706674</v>
      </c>
      <c r="D62" s="322">
        <f>'03_Historical_CF'!L4</f>
        <v>0.55848027157712443</v>
      </c>
    </row>
    <row r="63" spans="1:7" ht="15.6" customHeight="1" x14ac:dyDescent="0.3">
      <c r="A63" s="5" t="str">
        <f>'03_Historical_CF'!I5</f>
        <v>Adjustments to reconcile net income to net cash provided by operating
activities:</v>
      </c>
      <c r="B63" s="322"/>
      <c r="C63" s="322"/>
      <c r="D63" s="322"/>
    </row>
    <row r="64" spans="1:7" ht="15.6" customHeight="1" x14ac:dyDescent="0.3">
      <c r="A64" s="4" t="str">
        <f>'03_Historical_CF'!I6</f>
        <v>Stock-based compensation expense</v>
      </c>
      <c r="B64" s="322">
        <f>'03_Historical_CF'!J6</f>
        <v>0.10043004374582931</v>
      </c>
      <c r="C64" s="322">
        <f>'03_Historical_CF'!K6</f>
        <v>5.8254817635665278E-2</v>
      </c>
      <c r="D64" s="322">
        <f>'03_Historical_CF'!L6</f>
        <v>3.629968505023104E-2</v>
      </c>
    </row>
    <row r="65" spans="1:4" ht="15.6" customHeight="1" x14ac:dyDescent="0.3">
      <c r="A65" s="4" t="str">
        <f>'03_Historical_CF'!I7</f>
        <v>Depreciation and amortization</v>
      </c>
      <c r="B65" s="322">
        <f>'03_Historical_CF'!J7</f>
        <v>5.7240305479350488E-2</v>
      </c>
      <c r="C65" s="322">
        <f>'03_Historical_CF'!K7</f>
        <v>2.4752962804898065E-2</v>
      </c>
      <c r="D65" s="322">
        <f>'03_Historical_CF'!L7</f>
        <v>1.4283853268657517E-2</v>
      </c>
    </row>
    <row r="66" spans="1:4" ht="15.6" customHeight="1" x14ac:dyDescent="0.3">
      <c r="A66" s="4" t="str">
        <f>'03_Historical_CF'!I8</f>
        <v>Deferred income taxes</v>
      </c>
      <c r="B66" s="322">
        <f>'03_Historical_CF'!J8</f>
        <v>-8.0225402239193291E-2</v>
      </c>
      <c r="C66" s="322">
        <f>'03_Historical_CF'!K8</f>
        <v>-4.08555201733364E-2</v>
      </c>
      <c r="D66" s="322">
        <f>'03_Historical_CF'!L8</f>
        <v>-3.4307302083572799E-2</v>
      </c>
    </row>
    <row r="67" spans="1:4" ht="15.6" customHeight="1" x14ac:dyDescent="0.3">
      <c r="A67" s="4" t="str">
        <f>'03_Historical_CF'!I9</f>
        <v>(Gains) losses on non-marketable equity securities and publicly-held equity securities, net</v>
      </c>
      <c r="B67" s="322">
        <f>'03_Historical_CF'!J9</f>
        <v>1.6682731519240749E-3</v>
      </c>
      <c r="C67" s="322">
        <f>'03_Historical_CF'!K9</f>
        <v>-3.9066347132398803E-3</v>
      </c>
      <c r="D67" s="322">
        <f>'03_Historical_CF'!L9</f>
        <v>-7.8929017525307087E-3</v>
      </c>
    </row>
    <row r="68" spans="1:4" ht="15.6" customHeight="1" x14ac:dyDescent="0.3">
      <c r="A68" s="4" t="str">
        <f>'03_Historical_CF'!I10</f>
        <v>Acquisition termination cost</v>
      </c>
      <c r="B68" s="322">
        <f>'03_Historical_CF'!J10</f>
        <v>5.015941276785052E-2</v>
      </c>
      <c r="C68" s="322">
        <f>'03_Historical_CF'!K10</f>
        <v>0</v>
      </c>
      <c r="D68" s="322">
        <f>'03_Historical_CF'!L10</f>
        <v>0</v>
      </c>
    </row>
    <row r="69" spans="1:4" ht="15.6" customHeight="1" x14ac:dyDescent="0.3">
      <c r="A69" s="4" t="str">
        <f>'03_Historical_CF'!I11</f>
        <v>Other</v>
      </c>
      <c r="B69" s="322">
        <f>'03_Historical_CF'!J11</f>
        <v>-2.5950915696596724E-4</v>
      </c>
      <c r="C69" s="322">
        <f>'03_Historical_CF'!K11</f>
        <v>-4.5632119759692726E-3</v>
      </c>
      <c r="D69" s="322">
        <f>'03_Historical_CF'!L11</f>
        <v>-3.8468317279324428E-3</v>
      </c>
    </row>
    <row r="70" spans="1:4" ht="15.6" customHeight="1" x14ac:dyDescent="0.3">
      <c r="A70" s="5" t="str">
        <f>'03_Historical_CF'!I12</f>
        <v>Changes in operating assets and liabilities, net of acquisitions:</v>
      </c>
      <c r="B70" s="322"/>
      <c r="C70" s="322"/>
      <c r="D70" s="322"/>
    </row>
    <row r="71" spans="1:4" ht="15.6" customHeight="1" x14ac:dyDescent="0.3">
      <c r="A71" s="4" t="str">
        <f>'03_Historical_CF'!I13</f>
        <v>Accounts receivable</v>
      </c>
      <c r="B71" s="322">
        <f>'03_Historical_CF'!J13</f>
        <v>3.0473789575146439E-2</v>
      </c>
      <c r="C71" s="322">
        <f>'03_Historical_CF'!K13</f>
        <v>-0.10130987163914514</v>
      </c>
      <c r="D71" s="322">
        <f>'03_Historical_CF'!L13</f>
        <v>-0.10010191805175597</v>
      </c>
    </row>
    <row r="72" spans="1:4" ht="15.6" customHeight="1" x14ac:dyDescent="0.3">
      <c r="A72" s="4" t="str">
        <f>'03_Historical_CF'!I14</f>
        <v>Inventories</v>
      </c>
      <c r="B72" s="322">
        <f>'03_Historical_CF'!J14</f>
        <v>-9.4683769555868616E-2</v>
      </c>
      <c r="C72" s="322">
        <f>'03_Historical_CF'!K14</f>
        <v>-1.6086142936870096E-3</v>
      </c>
      <c r="D72" s="322">
        <f>'03_Historical_CF'!L14</f>
        <v>-3.6636857552280896E-2</v>
      </c>
    </row>
    <row r="73" spans="1:4" ht="15.6" customHeight="1" x14ac:dyDescent="0.3">
      <c r="A73" s="4" t="str">
        <f>'03_Historical_CF'!I15</f>
        <v>Prepaid expenses and other assets</v>
      </c>
      <c r="B73" s="322">
        <f>'03_Historical_CF'!J15</f>
        <v>-5.6239341588196039E-2</v>
      </c>
      <c r="C73" s="322">
        <f>'03_Historical_CF'!K15</f>
        <v>-2.4982764846853352E-2</v>
      </c>
      <c r="D73" s="322">
        <f>'03_Historical_CF'!L15</f>
        <v>-3.0268895070384759E-3</v>
      </c>
    </row>
    <row r="74" spans="1:4" ht="15.6" customHeight="1" x14ac:dyDescent="0.3">
      <c r="A74" s="4" t="str">
        <f>'03_Historical_CF'!I16</f>
        <v>Accounts payable</v>
      </c>
      <c r="B74" s="322">
        <f>'03_Historical_CF'!J16</f>
        <v>-2.0427077926892565E-2</v>
      </c>
      <c r="C74" s="322">
        <f>'03_Historical_CF'!K16</f>
        <v>2.5130494730967467E-2</v>
      </c>
      <c r="D74" s="322">
        <f>'03_Historical_CF'!L16</f>
        <v>2.5724729304121934E-2</v>
      </c>
    </row>
    <row r="75" spans="1:4" ht="15.6" customHeight="1" x14ac:dyDescent="0.3">
      <c r="A75" s="4" t="str">
        <f>'03_Historical_CF'!I17</f>
        <v>Accrued and other current liabilities</v>
      </c>
      <c r="B75" s="322">
        <f>'03_Historical_CF'!J17</f>
        <v>4.9714539927337438E-2</v>
      </c>
      <c r="C75" s="322">
        <f>'03_Historical_CF'!K17</f>
        <v>3.3239223925675451E-2</v>
      </c>
      <c r="D75" s="322">
        <f>'03_Historical_CF'!L17</f>
        <v>3.2782362812938226E-2</v>
      </c>
    </row>
    <row r="76" spans="1:4" ht="15.6" customHeight="1" x14ac:dyDescent="0.3">
      <c r="A76" s="4" t="str">
        <f>'03_Historical_CF'!I18</f>
        <v>Other long-term liabilities</v>
      </c>
      <c r="B76" s="322">
        <f>'03_Historical_CF'!J18</f>
        <v>9.3423296507748194E-3</v>
      </c>
      <c r="C76" s="322">
        <f>'03_Historical_CF'!K18</f>
        <v>8.4370178260726823E-3</v>
      </c>
      <c r="D76" s="322">
        <f>'03_Historical_CF'!L18</f>
        <v>9.3565369318834909E-3</v>
      </c>
    </row>
    <row r="77" spans="1:4" ht="15.6" customHeight="1" x14ac:dyDescent="0.3">
      <c r="A77" s="324" t="str">
        <f>'03_Historical_CF'!I19</f>
        <v>Net cash provided by operating activities</v>
      </c>
      <c r="B77" s="325">
        <f>'03_Historical_CF'!J19</f>
        <v>0.20912730777786015</v>
      </c>
      <c r="C77" s="325">
        <f>'03_Historical_CF'!K19</f>
        <v>0.46108138275171529</v>
      </c>
      <c r="D77" s="325">
        <f>'03_Historical_CF'!L19</f>
        <v>0.49111473826984531</v>
      </c>
    </row>
    <row r="78" spans="1:4" ht="15.6" customHeight="1" x14ac:dyDescent="0.3">
      <c r="A78" s="5" t="str">
        <f>'03_Historical_CF'!I20</f>
        <v>Cash flows from investing activities:</v>
      </c>
      <c r="B78" s="322"/>
      <c r="C78" s="322"/>
      <c r="D78" s="322"/>
    </row>
    <row r="79" spans="1:4" ht="15.6" customHeight="1" x14ac:dyDescent="0.3">
      <c r="A79" s="4" t="str">
        <f>'03_Historical_CF'!I21</f>
        <v>Proceeds from maturities of marketable securities</v>
      </c>
      <c r="B79" s="322">
        <f>'03_Historical_CF'!J21</f>
        <v>0.72013791058055909</v>
      </c>
      <c r="C79" s="322">
        <f>'03_Historical_CF'!K21</f>
        <v>0.159745248022061</v>
      </c>
      <c r="D79" s="322">
        <f>'03_Historical_CF'!L21</f>
        <v>8.5787412737457561E-2</v>
      </c>
    </row>
    <row r="80" spans="1:4" ht="15.6" customHeight="1" x14ac:dyDescent="0.3">
      <c r="A80" s="4" t="str">
        <f>'03_Historical_CF'!I22</f>
        <v>Proceeds from sales of marketable securities</v>
      </c>
      <c r="B80" s="322">
        <f>'03_Historical_CF'!J22</f>
        <v>6.6953362497219546E-2</v>
      </c>
      <c r="C80" s="322">
        <f>'03_Historical_CF'!K22</f>
        <v>8.2072157841173957E-4</v>
      </c>
      <c r="D80" s="322">
        <f>'03_Historical_CF'!L22</f>
        <v>3.793190648060875E-3</v>
      </c>
    </row>
    <row r="81" spans="1:4" ht="15.6" customHeight="1" x14ac:dyDescent="0.3">
      <c r="A81" s="4" t="str">
        <f>'03_Historical_CF'!I23</f>
        <v>Proceeds from sales of non-marketable equity securities</v>
      </c>
      <c r="B81" s="322">
        <f>'03_Historical_CF'!J23</f>
        <v>2.9658189367539109E-4</v>
      </c>
      <c r="C81" s="322">
        <f>'03_Historical_CF'!K23</f>
        <v>1.6414431568234792E-5</v>
      </c>
      <c r="D81" s="322">
        <f>'03_Historical_CF'!L23</f>
        <v>1.3103749511483023E-3</v>
      </c>
    </row>
    <row r="82" spans="1:4" ht="15.6" customHeight="1" x14ac:dyDescent="0.3">
      <c r="A82" s="4" t="str">
        <f>'03_Historical_CF'!I24</f>
        <v>Purchases of marketable securities</v>
      </c>
      <c r="B82" s="322">
        <f>'03_Historical_CF'!J24</f>
        <v>-0.44105434863201604</v>
      </c>
      <c r="C82" s="322">
        <f>'03_Historical_CF'!K24</f>
        <v>-0.2989232132891238</v>
      </c>
      <c r="D82" s="322">
        <f>'03_Historical_CF'!L24</f>
        <v>-0.20364452822670254</v>
      </c>
    </row>
    <row r="83" spans="1:4" ht="15.6" customHeight="1" x14ac:dyDescent="0.3">
      <c r="A83" s="4" t="str">
        <f>'03_Historical_CF'!I25</f>
        <v>Purchases related to property and equipment and intangible
assets</v>
      </c>
      <c r="B83" s="322">
        <f>'03_Historical_CF'!J25</f>
        <v>-6.7954326388373995E-2</v>
      </c>
      <c r="C83" s="322">
        <f>'03_Historical_CF'!K25</f>
        <v>-1.7547027346442992E-2</v>
      </c>
      <c r="D83" s="322">
        <f>'03_Historical_CF'!L25</f>
        <v>-2.4797504923484832E-2</v>
      </c>
    </row>
    <row r="84" spans="1:4" ht="15.6" customHeight="1" x14ac:dyDescent="0.3">
      <c r="A84" s="4" t="str">
        <f>'03_Historical_CF'!I26</f>
        <v>Purchases of non-marketable equity securities</v>
      </c>
      <c r="B84" s="322">
        <f>'03_Historical_CF'!J26</f>
        <v>-3.1511826203010308E-3</v>
      </c>
      <c r="C84" s="322">
        <f>'03_Historical_CF'!K26</f>
        <v>-1.414924001181839E-2</v>
      </c>
      <c r="D84" s="322">
        <f>'03_Historical_CF'!L26</f>
        <v>-1.1387234955592849E-2</v>
      </c>
    </row>
    <row r="85" spans="1:4" ht="15.6" customHeight="1" x14ac:dyDescent="0.3">
      <c r="A85" s="4" t="str">
        <f>'03_Historical_CF'!I27</f>
        <v>Acquisitions, net of cash acquired</v>
      </c>
      <c r="B85" s="322">
        <f>'03_Historical_CF'!J27</f>
        <v>-1.8165640987617706E-3</v>
      </c>
      <c r="C85" s="322">
        <f>'03_Historical_CF'!K27</f>
        <v>-1.3623978201634877E-3</v>
      </c>
      <c r="D85" s="322">
        <f>'03_Historical_CF'!L27</f>
        <v>-7.7166524900955579E-3</v>
      </c>
    </row>
    <row r="86" spans="1:4" ht="15.6" customHeight="1" x14ac:dyDescent="0.3">
      <c r="A86" s="4" t="str">
        <f>'03_Historical_CF'!I28</f>
        <v>Other</v>
      </c>
      <c r="B86" s="322">
        <f>'03_Historical_CF'!J28</f>
        <v>0</v>
      </c>
      <c r="C86" s="322">
        <f>'03_Historical_CF'!K28</f>
        <v>-2.0353895144611142E-3</v>
      </c>
      <c r="D86" s="322">
        <f>'03_Historical_CF'!L28</f>
        <v>1.6858625102492779E-4</v>
      </c>
    </row>
    <row r="87" spans="1:4" ht="15.6" customHeight="1" x14ac:dyDescent="0.3">
      <c r="A87" s="324" t="str">
        <f>'03_Historical_CF'!I29</f>
        <v>Net cash provided by (used in) investing activities</v>
      </c>
      <c r="B87" s="325">
        <f>'03_Historical_CF'!J29</f>
        <v>0.27341143323200118</v>
      </c>
      <c r="C87" s="325">
        <f>'03_Historical_CF'!K29</f>
        <v>-0.17343488394996881</v>
      </c>
      <c r="D87" s="325">
        <f>'03_Historical_CF'!L29</f>
        <v>-0.15648635600818409</v>
      </c>
    </row>
    <row r="88" spans="1:4" ht="15.6" customHeight="1" x14ac:dyDescent="0.3">
      <c r="A88" s="5" t="str">
        <f>'03_Historical_CF'!I30</f>
        <v>Cash flows from financing activities:</v>
      </c>
      <c r="B88" s="322"/>
      <c r="C88" s="322"/>
      <c r="D88" s="322"/>
    </row>
    <row r="89" spans="1:4" ht="15.6" customHeight="1" x14ac:dyDescent="0.3">
      <c r="A89" s="4" t="str">
        <f>'03_Historical_CF'!I31</f>
        <v>Proceeds related to employee stock plans</v>
      </c>
      <c r="B89" s="322">
        <f>'03_Historical_CF'!J31</f>
        <v>1.316082153184548E-2</v>
      </c>
      <c r="C89" s="322">
        <f>'03_Historical_CF'!K31</f>
        <v>6.6150159219986208E-3</v>
      </c>
      <c r="D89" s="322">
        <f>'03_Historical_CF'!L31</f>
        <v>3.754875591009755E-3</v>
      </c>
    </row>
    <row r="90" spans="1:4" ht="15.6" customHeight="1" x14ac:dyDescent="0.3">
      <c r="A90" s="4" t="str">
        <f>'03_Historical_CF'!I32</f>
        <v>Payments related to repurchases of common stock</v>
      </c>
      <c r="B90" s="322">
        <f>'03_Historical_CF'!J32</f>
        <v>-0.37217320382590641</v>
      </c>
      <c r="C90" s="322">
        <f>'03_Historical_CF'!K32</f>
        <v>-0.15647877613998226</v>
      </c>
      <c r="D90" s="322">
        <f>'03_Historical_CF'!L32</f>
        <v>-0.25828946259300978</v>
      </c>
    </row>
    <row r="91" spans="1:4" ht="15.6" customHeight="1" x14ac:dyDescent="0.3">
      <c r="A91" s="4" t="str">
        <f>'03_Historical_CF'!I33</f>
        <v>Payments related to tax on restricted stock units</v>
      </c>
      <c r="B91" s="322">
        <f>'03_Historical_CF'!J33</f>
        <v>-5.4682286646400236E-2</v>
      </c>
      <c r="C91" s="322">
        <f>'03_Historical_CF'!K33</f>
        <v>-4.5681363054397427E-2</v>
      </c>
      <c r="D91" s="322">
        <f>'03_Historical_CF'!L33</f>
        <v>-5.3104669072852252E-2</v>
      </c>
    </row>
    <row r="92" spans="1:4" ht="15.6" customHeight="1" x14ac:dyDescent="0.3">
      <c r="A92" s="4" t="str">
        <f>'03_Historical_CF'!I34</f>
        <v>Repayment of debt</v>
      </c>
      <c r="B92" s="322">
        <f>'03_Historical_CF'!J34</f>
        <v>0</v>
      </c>
      <c r="C92" s="322">
        <f>'03_Historical_CF'!K34</f>
        <v>-2.0518039460293489E-2</v>
      </c>
      <c r="D92" s="322">
        <f>'03_Historical_CF'!L34</f>
        <v>-9.578764262779987E-3</v>
      </c>
    </row>
    <row r="93" spans="1:4" ht="15.6" customHeight="1" x14ac:dyDescent="0.3">
      <c r="A93" s="4" t="str">
        <f>'03_Historical_CF'!I35</f>
        <v>Dividends paid</v>
      </c>
      <c r="B93" s="322">
        <f>'03_Historical_CF'!J35</f>
        <v>-1.4754949210350709E-2</v>
      </c>
      <c r="C93" s="322">
        <f>'03_Historical_CF'!K35</f>
        <v>-6.4837004694527425E-3</v>
      </c>
      <c r="D93" s="322">
        <f>'03_Historical_CF'!L35</f>
        <v>-6.3909515161268077E-3</v>
      </c>
    </row>
    <row r="94" spans="1:4" ht="15.6" customHeight="1" x14ac:dyDescent="0.3">
      <c r="A94" s="4" t="str">
        <f>'03_Historical_CF'!I36</f>
        <v>Principal payments on property and equipment and intangible
assets</v>
      </c>
      <c r="B94" s="322">
        <f>'03_Historical_CF'!J36</f>
        <v>-2.1502187291465857E-3</v>
      </c>
      <c r="C94" s="322">
        <f>'03_Historical_CF'!K36</f>
        <v>-1.2146679360493745E-3</v>
      </c>
      <c r="D94" s="322">
        <f>'03_Historical_CF'!L36</f>
        <v>-9.8852847191889461E-4</v>
      </c>
    </row>
    <row r="95" spans="1:4" ht="15.6" customHeight="1" x14ac:dyDescent="0.3">
      <c r="A95" s="4" t="str">
        <f>'03_Historical_CF'!I37</f>
        <v>Other</v>
      </c>
      <c r="B95" s="322">
        <f>'03_Historical_CF'!J37</f>
        <v>-7.4145473418847773E-5</v>
      </c>
      <c r="C95" s="322">
        <f>'03_Historical_CF'!K37</f>
        <v>-1.6414431568234792E-5</v>
      </c>
      <c r="D95" s="322">
        <f>'03_Historical_CF'!L37</f>
        <v>0</v>
      </c>
    </row>
    <row r="96" spans="1:4" ht="15.6" customHeight="1" x14ac:dyDescent="0.3">
      <c r="A96" s="324" t="str">
        <f>'03_Historical_CF'!I38</f>
        <v>Net cash used in financing activities</v>
      </c>
      <c r="B96" s="325">
        <f>'03_Historical_CF'!J38</f>
        <v>-0.43067398235337734</v>
      </c>
      <c r="C96" s="325">
        <f>'03_Historical_CF'!K38</f>
        <v>-0.22377794556974492</v>
      </c>
      <c r="D96" s="325">
        <f>'03_Historical_CF'!L38</f>
        <v>-0.32459750032567797</v>
      </c>
    </row>
    <row r="97" spans="1:4" ht="15.6" customHeight="1" x14ac:dyDescent="0.3">
      <c r="A97" s="4" t="str">
        <f>'03_Historical_CF'!I39</f>
        <v>Change in cash and cash equivalents</v>
      </c>
      <c r="B97" s="322">
        <f>'03_Historical_CF'!J39</f>
        <v>5.1864758656484024E-2</v>
      </c>
      <c r="C97" s="322">
        <f>'03_Historical_CF'!K39</f>
        <v>6.3868553232001579E-2</v>
      </c>
      <c r="D97" s="322">
        <f>'03_Historical_CF'!L39</f>
        <v>1.0030881935983203E-2</v>
      </c>
    </row>
    <row r="98" spans="1:4" ht="15.6" customHeight="1" x14ac:dyDescent="0.3">
      <c r="A98" s="4" t="str">
        <f>'03_Historical_CF'!I40</f>
        <v>Cash and cash equivalents at beginning of period</v>
      </c>
      <c r="B98" s="322">
        <f>'03_Historical_CF'!J40</f>
        <v>7.3774746051753534E-2</v>
      </c>
      <c r="C98" s="322">
        <f>'03_Historical_CF'!K40</f>
        <v>5.5628508584747709E-2</v>
      </c>
      <c r="D98" s="322">
        <f>'03_Historical_CF'!L40</f>
        <v>5.5786723066430649E-2</v>
      </c>
    </row>
    <row r="99" spans="1:4" ht="15.6" customHeight="1" x14ac:dyDescent="0.3">
      <c r="A99" s="4" t="str">
        <f>'03_Historical_CF'!I41</f>
        <v>Cash and cash equivalents at end of period</v>
      </c>
      <c r="B99" s="322">
        <f>'03_Historical_CF'!J41</f>
        <v>0.12563950470823756</v>
      </c>
      <c r="C99" s="322">
        <f>'03_Historical_CF'!K41</f>
        <v>0.11949706181674928</v>
      </c>
      <c r="D99" s="322">
        <f>'03_Historical_CF'!L41</f>
        <v>6.5817605002413848E-2</v>
      </c>
    </row>
    <row r="100" spans="1:4" ht="15.6" customHeight="1" x14ac:dyDescent="0.3">
      <c r="A100" s="5" t="str">
        <f>'03_Historical_CF'!I42</f>
        <v>Supplemental disclosures of cash flow information:</v>
      </c>
      <c r="B100" s="322"/>
      <c r="C100" s="322"/>
      <c r="D100" s="322"/>
    </row>
    <row r="101" spans="1:4" ht="15.6" customHeight="1" x14ac:dyDescent="0.3">
      <c r="A101" s="4" t="str">
        <f>'03_Historical_CF'!I43</f>
        <v>Cash paid for income taxes, net</v>
      </c>
      <c r="B101" s="322">
        <f>'03_Historical_CF'!J43</f>
        <v>5.2050122340031139E-2</v>
      </c>
      <c r="C101" s="322">
        <f>'03_Historical_CF'!K43</f>
        <v>0.10749811234036966</v>
      </c>
      <c r="D101" s="322">
        <f>'03_Historical_CF'!L43</f>
        <v>0.11584940649976627</v>
      </c>
    </row>
    <row r="102" spans="1:4" ht="15.6" customHeight="1" x14ac:dyDescent="0.3">
      <c r="A102" s="339" t="str">
        <f>'03_Historical_CF'!I44</f>
        <v>Cash paid for interest</v>
      </c>
      <c r="B102" s="340">
        <f>'03_Historical_CF'!J44</f>
        <v>9.416475124193668E-3</v>
      </c>
      <c r="C102" s="340">
        <f>'03_Historical_CF'!K44</f>
        <v>4.136436755195168E-3</v>
      </c>
      <c r="D102" s="340">
        <f>'03_Historical_CF'!L44</f>
        <v>1.8851008069151016E-3</v>
      </c>
    </row>
    <row r="103" spans="1:4" x14ac:dyDescent="0.3">
      <c r="B103" s="331"/>
      <c r="C103" s="331"/>
      <c r="D103" s="331"/>
    </row>
  </sheetData>
  <mergeCells count="3">
    <mergeCell ref="A60:D60"/>
    <mergeCell ref="A1:F1"/>
    <mergeCell ref="A39:G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6"/>
  <sheetViews>
    <sheetView showGridLines="0" zoomScale="70" zoomScaleNormal="40" workbookViewId="0">
      <selection activeCell="R4" sqref="R4"/>
    </sheetView>
  </sheetViews>
  <sheetFormatPr defaultRowHeight="14.4" x14ac:dyDescent="0.3"/>
  <cols>
    <col min="1" max="1" width="20.77734375" customWidth="1"/>
    <col min="2" max="2" width="13.44140625" customWidth="1"/>
    <col min="3" max="3" width="12.5546875" bestFit="1" customWidth="1"/>
    <col min="4" max="4" width="14.109375" customWidth="1"/>
    <col min="5" max="5" width="13.109375" customWidth="1"/>
    <col min="6" max="6" width="10.5546875" customWidth="1"/>
    <col min="7" max="7" width="12" customWidth="1"/>
    <col min="8" max="8" width="11.5546875" customWidth="1"/>
    <col min="9" max="9" width="13.44140625" customWidth="1"/>
    <col min="11" max="11" width="33.21875" bestFit="1" customWidth="1"/>
    <col min="12" max="12" width="2.6640625" customWidth="1"/>
  </cols>
  <sheetData>
    <row r="1" spans="1:19" ht="18" customHeight="1" x14ac:dyDescent="0.35">
      <c r="A1" s="738" t="s">
        <v>556</v>
      </c>
      <c r="B1" s="700"/>
      <c r="C1" s="700"/>
      <c r="D1" s="700"/>
      <c r="E1" s="700"/>
      <c r="F1" s="700"/>
      <c r="G1" s="700"/>
      <c r="H1" s="700"/>
      <c r="I1" s="257"/>
      <c r="J1" s="257"/>
      <c r="K1" s="268" t="s">
        <v>557</v>
      </c>
      <c r="L1" s="503"/>
      <c r="M1" s="504"/>
      <c r="N1" s="504"/>
      <c r="O1" s="504"/>
      <c r="P1" s="504"/>
      <c r="Q1" s="504"/>
      <c r="R1" s="504"/>
      <c r="S1" s="269"/>
    </row>
    <row r="2" spans="1:19" ht="15.6" customHeight="1" x14ac:dyDescent="0.3">
      <c r="A2" s="495" t="s">
        <v>3</v>
      </c>
      <c r="B2" s="277"/>
      <c r="C2" s="278" t="s">
        <v>350</v>
      </c>
      <c r="D2" s="278" t="s">
        <v>188</v>
      </c>
      <c r="E2" s="278" t="s">
        <v>189</v>
      </c>
      <c r="F2" s="278" t="s">
        <v>190</v>
      </c>
      <c r="G2" s="278" t="s">
        <v>191</v>
      </c>
      <c r="H2" s="278" t="s">
        <v>192</v>
      </c>
      <c r="I2" s="258"/>
      <c r="J2" s="258"/>
      <c r="K2" s="474" t="s">
        <v>558</v>
      </c>
      <c r="L2" s="496"/>
      <c r="M2" s="498">
        <v>0</v>
      </c>
      <c r="N2" s="502">
        <f>('01_Historical_IS'!C12/('02_Historical_BS'!B17-'02_Historical_BS'!B25))</f>
        <v>0.18225689696774713</v>
      </c>
      <c r="O2" s="502">
        <f>('01_Historical_IS'!D12/('02_Historical_BS'!C17-'02_Historical_BS'!C25))</f>
        <v>0.25195724179464019</v>
      </c>
      <c r="P2" s="502">
        <f>('01_Historical_IS'!E12/('02_Historical_BS'!D17-'02_Historical_BS'!D25))</f>
        <v>0.12201392299026546</v>
      </c>
      <c r="Q2" s="502">
        <f>('01_Historical_IS'!F12/('02_Historical_BS'!E17-'02_Historical_BS'!E25))</f>
        <v>0.5984354865056174</v>
      </c>
      <c r="R2" s="502">
        <f>('01_Historical_IS'!G12/('02_Historical_BS'!F17-'02_Historical_BS'!F25))</f>
        <v>0.87065224362400329</v>
      </c>
      <c r="S2" s="269"/>
    </row>
    <row r="3" spans="1:19" s="4" customFormat="1" ht="16.8" customHeight="1" x14ac:dyDescent="0.3">
      <c r="A3" s="736" t="s">
        <v>559</v>
      </c>
      <c r="B3" s="725"/>
      <c r="C3" s="725"/>
      <c r="D3" s="725"/>
      <c r="E3" s="725"/>
      <c r="F3" s="725"/>
      <c r="G3" s="725"/>
      <c r="H3" s="725"/>
      <c r="I3" s="260"/>
      <c r="J3" s="260"/>
      <c r="K3" s="474" t="s">
        <v>560</v>
      </c>
      <c r="L3" s="496"/>
      <c r="M3" s="498">
        <v>0</v>
      </c>
      <c r="N3" s="502">
        <f>'02_Historical_BS'!B34/'01_Historical_IS'!C21</f>
        <v>4.3647276084949214</v>
      </c>
      <c r="O3" s="502">
        <f>'02_Historical_BS'!C34/'01_Historical_IS'!D21</f>
        <v>1.6647867104183758</v>
      </c>
      <c r="P3" s="502">
        <f>'02_Historical_BS'!D34/'01_Historical_IS'!E21</f>
        <v>2.328525641025641</v>
      </c>
      <c r="Q3" s="502">
        <f>'02_Historical_BS'!E34/'01_Historical_IS'!F21</f>
        <v>1.0019153225806452</v>
      </c>
      <c r="R3" s="502">
        <f>'02_Historical_BS'!F34/'01_Historical_IS'!G21</f>
        <v>0.93356201975850717</v>
      </c>
      <c r="S3" s="269"/>
    </row>
    <row r="4" spans="1:19" s="4" customFormat="1" ht="15.6" customHeight="1" x14ac:dyDescent="0.3">
      <c r="A4" s="474" t="s">
        <v>561</v>
      </c>
      <c r="B4" s="496"/>
      <c r="C4" s="497">
        <f>'10_GrowthRates'!I3</f>
        <v>-6.8111983612154314E-2</v>
      </c>
      <c r="D4" s="497">
        <f>'10_GrowthRates'!J3</f>
        <v>0.52729437625938824</v>
      </c>
      <c r="E4" s="497">
        <f>'10_GrowthRates'!K3</f>
        <v>0.61403298350824587</v>
      </c>
      <c r="F4" s="497">
        <f>'10_GrowthRates'!L3</f>
        <v>2.2293230289069932E-3</v>
      </c>
      <c r="G4" s="497">
        <f>'10_GrowthRates'!M3</f>
        <v>1.2585452658115224</v>
      </c>
      <c r="H4" s="497">
        <f>'10_GrowthRates'!N3</f>
        <v>1.1420340763599355</v>
      </c>
      <c r="I4" s="269"/>
      <c r="J4" s="269"/>
      <c r="K4" s="474" t="s">
        <v>562</v>
      </c>
      <c r="L4" s="496"/>
      <c r="M4" s="498">
        <v>0</v>
      </c>
      <c r="N4" s="502">
        <f>'01_Historical_IS'!C21/'02_Historical_BS'!B37</f>
        <v>0.25643757769490322</v>
      </c>
      <c r="O4" s="502">
        <f>'01_Historical_IS'!D21/'02_Historical_BS'!C37</f>
        <v>0.36645122501127309</v>
      </c>
      <c r="P4" s="502">
        <f>'01_Historical_IS'!E21/'02_Historical_BS'!D37</f>
        <v>0.19763811592235644</v>
      </c>
      <c r="Q4" s="502">
        <f>'01_Historical_IS'!F21/'02_Historical_BS'!E37</f>
        <v>0.69244729861789756</v>
      </c>
      <c r="R4" s="502">
        <f>'01_Historical_IS'!G21/'02_Historical_BS'!F37</f>
        <v>0.9187288060811577</v>
      </c>
      <c r="S4" s="269"/>
    </row>
    <row r="5" spans="1:19" s="4" customFormat="1" ht="15.6" customHeight="1" x14ac:dyDescent="0.3">
      <c r="A5" s="474" t="s">
        <v>563</v>
      </c>
      <c r="B5" s="496"/>
      <c r="C5" s="498">
        <v>0</v>
      </c>
      <c r="D5" s="499">
        <f>('01_Historical_IS'!C5/'01_Historical_IS'!B5)-1</f>
        <v>0.53605200945626486</v>
      </c>
      <c r="E5" s="499">
        <f>('01_Historical_IS'!D5/'01_Historical_IS'!C5)-1</f>
        <v>0.68093497499038103</v>
      </c>
      <c r="F5" s="499">
        <f>('01_Historical_IS'!E5/'01_Historical_IS'!D5)-1</f>
        <v>-0.12125894134477821</v>
      </c>
      <c r="G5" s="499">
        <f>('01_Historical_IS'!F5/'01_Historical_IS'!E5)-1</f>
        <v>1.8849309716071896</v>
      </c>
      <c r="H5" s="499">
        <f>('01_Historical_IS'!G5/'01_Historical_IS'!F5)-1</f>
        <v>1.208934335568046</v>
      </c>
      <c r="I5" s="269"/>
      <c r="J5" s="269"/>
      <c r="K5" s="474" t="s">
        <v>564</v>
      </c>
      <c r="L5" s="496"/>
      <c r="M5" s="498">
        <v>0</v>
      </c>
      <c r="N5" s="502">
        <f>N3*N4</f>
        <v>1.1192801752205055</v>
      </c>
      <c r="O5" s="502">
        <f>O3*O4</f>
        <v>0.61006312941530139</v>
      </c>
      <c r="P5" s="502">
        <f>P3*P4</f>
        <v>0.46020542056920499</v>
      </c>
      <c r="Q5" s="502">
        <f>Q3*Q4</f>
        <v>0.69377355856484713</v>
      </c>
      <c r="R5" s="502">
        <f>R3*R4</f>
        <v>0.85769031981544741</v>
      </c>
      <c r="S5" s="269"/>
    </row>
    <row r="6" spans="1:19" s="4" customFormat="1" ht="15.6" customHeight="1" x14ac:dyDescent="0.3">
      <c r="A6" s="474" t="s">
        <v>565</v>
      </c>
      <c r="B6" s="496"/>
      <c r="C6" s="270">
        <v>0</v>
      </c>
      <c r="D6" s="499">
        <f>('01_Historical_IS'!C14/'01_Historical_IS'!B14)-1</f>
        <v>0.74465447784319805</v>
      </c>
      <c r="E6" s="499">
        <f>('01_Historical_IS'!D14/'01_Historical_IS'!C14)-1</f>
        <v>0.99200710479573706</v>
      </c>
      <c r="F6" s="499">
        <f>('01_Historical_IS'!E14/'01_Historical_IS'!D14)-1</f>
        <v>-0.48568880962995986</v>
      </c>
      <c r="G6" s="499">
        <f>('01_Historical_IS'!F14/'01_Historical_IS'!E14)-1</f>
        <v>4.9778085991678225</v>
      </c>
      <c r="H6" s="499">
        <f>('01_Historical_IS'!G14/'01_Historical_IS'!F14)-1</f>
        <v>1.4163863109048722</v>
      </c>
      <c r="I6" s="269"/>
      <c r="J6" s="269"/>
      <c r="K6" s="474" t="s">
        <v>566</v>
      </c>
      <c r="L6" s="496"/>
      <c r="M6" s="505">
        <f>'01_Historical_IS'!B12/-'01_Historical_IS'!B16</f>
        <v>54.730769230769234</v>
      </c>
      <c r="N6" s="505">
        <f>'01_Historical_IS'!C12/-'01_Historical_IS'!C16</f>
        <v>24.630434782608695</v>
      </c>
      <c r="O6" s="505">
        <f>'01_Historical_IS'!D12/-'01_Historical_IS'!D16</f>
        <v>42.546610169491522</v>
      </c>
      <c r="P6" s="505">
        <f>'01_Historical_IS'!E12/-'01_Historical_IS'!E16</f>
        <v>16.122137404580151</v>
      </c>
      <c r="Q6" s="505">
        <f>'01_Historical_IS'!F12/-'01_Historical_IS'!F16</f>
        <v>128.29571984435799</v>
      </c>
      <c r="R6" s="505">
        <f>'01_Historical_IS'!G12/-'01_Historical_IS'!G16</f>
        <v>329.76923076923077</v>
      </c>
      <c r="S6" s="269"/>
    </row>
    <row r="7" spans="1:19" s="4" customFormat="1" ht="15.6" customHeight="1" x14ac:dyDescent="0.3">
      <c r="A7" s="474" t="s">
        <v>567</v>
      </c>
      <c r="B7" s="496"/>
      <c r="C7" s="498">
        <v>0</v>
      </c>
      <c r="D7" s="499">
        <f>('01_Historical_IS'!C12/'01_Historical_IS'!B12)-1</f>
        <v>0.59241040056219263</v>
      </c>
      <c r="E7" s="499">
        <f>('01_Historical_IS'!D12/'01_Historical_IS'!C12)-1</f>
        <v>1.215578111209179</v>
      </c>
      <c r="F7" s="499">
        <f>('01_Historical_IS'!E12/'01_Historical_IS'!D12)-1</f>
        <v>-0.57932476844935765</v>
      </c>
      <c r="G7" s="499">
        <f>('01_Historical_IS'!F12/'01_Historical_IS'!E12)-1</f>
        <v>6.8058712121212119</v>
      </c>
      <c r="H7" s="499">
        <f>('01_Historical_IS'!G12/'01_Historical_IS'!F12)-1</f>
        <v>1.470368797767803</v>
      </c>
      <c r="I7" s="269"/>
      <c r="J7" s="269"/>
      <c r="K7" s="474"/>
      <c r="L7" s="496"/>
      <c r="M7" s="505"/>
      <c r="N7" s="505"/>
      <c r="O7" s="505"/>
      <c r="P7" s="505"/>
      <c r="Q7" s="505"/>
      <c r="R7" s="505"/>
      <c r="S7" s="269"/>
    </row>
    <row r="8" spans="1:19" s="4" customFormat="1" ht="18" customHeight="1" x14ac:dyDescent="0.3">
      <c r="A8" s="474" t="s">
        <v>568</v>
      </c>
      <c r="B8" s="496"/>
      <c r="C8" s="498">
        <v>0</v>
      </c>
      <c r="D8" s="499">
        <f>('01_Historical_IS'!C21/'01_Historical_IS'!B21)-1</f>
        <v>0.54935622317596566</v>
      </c>
      <c r="E8" s="499">
        <f>('01_Historical_IS'!D21/'01_Historical_IS'!C21)-1</f>
        <v>1.2511542012927053</v>
      </c>
      <c r="F8" s="499">
        <f>('01_Historical_IS'!E21/'01_Historical_IS'!D21)-1</f>
        <v>-0.55209187858900743</v>
      </c>
      <c r="G8" s="499">
        <f>('01_Historical_IS'!F21/'01_Historical_IS'!E21)-1</f>
        <v>5.813186813186813</v>
      </c>
      <c r="H8" s="499">
        <f>('01_Historical_IS'!G21/'01_Historical_IS'!F21)-1</f>
        <v>1.4489247311827955</v>
      </c>
      <c r="I8" s="269"/>
      <c r="J8" s="269"/>
      <c r="K8" s="736" t="s">
        <v>569</v>
      </c>
      <c r="L8" s="725"/>
      <c r="M8" s="725"/>
      <c r="N8" s="725"/>
      <c r="O8" s="725"/>
      <c r="P8" s="725"/>
      <c r="Q8" s="725"/>
      <c r="R8" s="725"/>
      <c r="S8" s="269"/>
    </row>
    <row r="9" spans="1:19" s="4" customFormat="1" ht="15.6" customHeight="1" x14ac:dyDescent="0.3">
      <c r="A9" s="474"/>
      <c r="B9" s="496"/>
      <c r="C9" s="496"/>
      <c r="D9" s="496"/>
      <c r="E9" s="496"/>
      <c r="F9" s="496"/>
      <c r="G9" s="496"/>
      <c r="H9" s="496"/>
      <c r="I9" s="269"/>
      <c r="J9" s="269"/>
      <c r="K9" s="474" t="s">
        <v>570</v>
      </c>
      <c r="N9" s="506">
        <f>'01_Historical_IS'!C3/'02_Historical_BS'!B7</f>
        <v>6.8649650061753809</v>
      </c>
      <c r="O9" s="506">
        <f>'01_Historical_IS'!D3/'02_Historical_BS'!C7</f>
        <v>5.7879569892473119</v>
      </c>
      <c r="P9" s="506">
        <f>'01_Historical_IS'!E3/'02_Historical_BS'!D7</f>
        <v>7.0483407368696103</v>
      </c>
      <c r="Q9" s="506">
        <f>'01_Historical_IS'!F3/'02_Historical_BS'!E7</f>
        <v>6.0928092809280932</v>
      </c>
      <c r="R9" s="506">
        <f>'01_Historical_IS'!G3/'02_Historical_BS'!F7</f>
        <v>5.6577931931497938</v>
      </c>
      <c r="S9" s="269"/>
    </row>
    <row r="10" spans="1:19" s="4" customFormat="1" ht="19.2" customHeight="1" x14ac:dyDescent="0.3">
      <c r="A10" s="736" t="s">
        <v>571</v>
      </c>
      <c r="B10" s="725"/>
      <c r="C10" s="725"/>
      <c r="D10" s="725"/>
      <c r="E10" s="725"/>
      <c r="F10" s="725"/>
      <c r="G10" s="725"/>
      <c r="H10" s="725"/>
      <c r="I10" s="269"/>
      <c r="J10" s="269"/>
      <c r="K10" s="474" t="s">
        <v>572</v>
      </c>
      <c r="L10" s="496"/>
      <c r="N10" s="506">
        <f>'01_Historical_IS'!C4/'02_Historical_BS'!B18</f>
        <v>5.464751958224543</v>
      </c>
      <c r="O10" s="506">
        <f>'01_Historical_IS'!D4/'02_Historical_BS'!C18</f>
        <v>5.29388670779585</v>
      </c>
      <c r="P10" s="506">
        <f>'01_Historical_IS'!E4/'02_Historical_BS'!D18</f>
        <v>9.7384744341994978</v>
      </c>
      <c r="Q10" s="506">
        <f>'01_Historical_IS'!F4/'02_Historical_BS'!E18</f>
        <v>6.1582067432382361</v>
      </c>
      <c r="R10" s="506">
        <f>'01_Historical_IS'!G4/'02_Historical_BS'!F18</f>
        <v>5.1725832012678286</v>
      </c>
      <c r="S10" s="269"/>
    </row>
    <row r="11" spans="1:19" s="4" customFormat="1" ht="15.6" customHeight="1" x14ac:dyDescent="0.3">
      <c r="A11" s="474" t="s">
        <v>573</v>
      </c>
      <c r="B11" s="496"/>
      <c r="C11" s="500">
        <f>'01_Historical_IS'!B5/'01_Historical_IS'!B3</f>
        <v>0.61989375343469499</v>
      </c>
      <c r="D11" s="500">
        <f>'01_Historical_IS'!C5/'01_Historical_IS'!C3</f>
        <v>0.62344827586206897</v>
      </c>
      <c r="E11" s="500">
        <f>'01_Historical_IS'!D5/'01_Historical_IS'!D3</f>
        <v>0.64929033216913135</v>
      </c>
      <c r="F11" s="500">
        <f>'01_Historical_IS'!E5/'01_Historical_IS'!E3</f>
        <v>0.56928894490991322</v>
      </c>
      <c r="G11" s="500">
        <f>'01_Historical_IS'!F5/'01_Historical_IS'!F3</f>
        <v>0.72717573290436954</v>
      </c>
      <c r="H11" s="500">
        <f>'01_Historical_IS'!G5/'01_Historical_IS'!G3</f>
        <v>0.74988697058169917</v>
      </c>
      <c r="I11" s="269"/>
      <c r="J11" s="269"/>
      <c r="K11" s="474" t="s">
        <v>574</v>
      </c>
      <c r="L11" s="496"/>
      <c r="M11" s="498"/>
      <c r="N11" s="506">
        <f>'01_Historical_IS'!C4/'02_Historical_BS'!B8</f>
        <v>3.4386637458926614</v>
      </c>
      <c r="O11" s="506">
        <f>'01_Historical_IS'!D4/'02_Historical_BS'!C8</f>
        <v>3.6234165067178501</v>
      </c>
      <c r="P11" s="506">
        <f>'01_Historical_IS'!E4/'02_Historical_BS'!D8</f>
        <v>2.2519868191509982</v>
      </c>
      <c r="Q11" s="506">
        <f>'01_Historical_IS'!F4/'02_Historical_BS'!E8</f>
        <v>3.1467247254827715</v>
      </c>
      <c r="R11" s="506">
        <f>'01_Historical_IS'!G4/'02_Historical_BS'!F8</f>
        <v>3.2379960317460319</v>
      </c>
      <c r="S11" s="269"/>
    </row>
    <row r="12" spans="1:19" s="4" customFormat="1" ht="15.6" customHeight="1" x14ac:dyDescent="0.3">
      <c r="A12" s="474" t="s">
        <v>575</v>
      </c>
      <c r="B12" s="496"/>
      <c r="C12" s="500">
        <f>'01_Historical_IS'!B12/'01_Historical_IS'!B3</f>
        <v>0.2606704524638212</v>
      </c>
      <c r="D12" s="500">
        <f>'01_Historical_IS'!C12/'01_Historical_IS'!C3</f>
        <v>0.27178410794602698</v>
      </c>
      <c r="E12" s="500">
        <f>'01_Historical_IS'!D12/'01_Historical_IS'!D3</f>
        <v>0.37307720888756779</v>
      </c>
      <c r="F12" s="500">
        <f>'01_Historical_IS'!E12/'01_Historical_IS'!E3</f>
        <v>0.1565952398606065</v>
      </c>
      <c r="G12" s="500">
        <f>'01_Historical_IS'!F12/'01_Historical_IS'!F3</f>
        <v>0.54121663766783756</v>
      </c>
      <c r="H12" s="500">
        <f>'01_Historical_IS'!G12/'01_Historical_IS'!G3</f>
        <v>0.62417526839697468</v>
      </c>
      <c r="I12" s="269"/>
      <c r="J12" s="269"/>
      <c r="K12" s="474" t="s">
        <v>576</v>
      </c>
      <c r="L12" s="496"/>
      <c r="N12" s="506">
        <f>'01_Historical_IS'!C3/'12_FixedAssets'!D12</f>
        <v>14.782801418439716</v>
      </c>
      <c r="O12" s="506">
        <f>'01_Historical_IS'!D3/'12_FixedAssets'!E12</f>
        <v>8.6124799999999997</v>
      </c>
      <c r="P12" s="506">
        <f>'01_Historical_IS'!E3/'12_FixedAssets'!F12</f>
        <v>5.8499240945564956</v>
      </c>
      <c r="Q12" s="506">
        <f>'01_Historical_IS'!F3/'12_FixedAssets'!G12</f>
        <v>12.494257588187038</v>
      </c>
      <c r="R12" s="506">
        <f>'01_Historical_IS'!G3/'12_FixedAssets'!H12</f>
        <v>18.251328671328672</v>
      </c>
      <c r="S12" s="269"/>
    </row>
    <row r="13" spans="1:19" s="4" customFormat="1" ht="15.6" customHeight="1" x14ac:dyDescent="0.3">
      <c r="A13" s="474" t="s">
        <v>577</v>
      </c>
      <c r="B13" s="496"/>
      <c r="C13" s="500">
        <f>'01_Historical_IS'!B14/'01_Historical_IS'!B3</f>
        <v>0.29556695365451546</v>
      </c>
      <c r="D13" s="500">
        <f>'01_Historical_IS'!C14/'01_Historical_IS'!C3</f>
        <v>0.3376311844077961</v>
      </c>
      <c r="E13" s="500">
        <f>'01_Historical_IS'!D14/'01_Historical_IS'!D3</f>
        <v>0.41669762948651262</v>
      </c>
      <c r="F13" s="500">
        <f>'01_Historical_IS'!E14/'01_Historical_IS'!E3</f>
        <v>0.21383554533995699</v>
      </c>
      <c r="G13" s="500">
        <f>'01_Historical_IS'!F14/'01_Historical_IS'!F3</f>
        <v>0.56596960047273559</v>
      </c>
      <c r="H13" s="500">
        <f>'01_Historical_IS'!G14/'01_Historical_IS'!G3</f>
        <v>0.63845912166563212</v>
      </c>
      <c r="I13" s="269"/>
      <c r="J13" s="269"/>
      <c r="K13" s="474" t="s">
        <v>578</v>
      </c>
      <c r="L13" s="496"/>
      <c r="M13" s="498"/>
      <c r="N13" s="502">
        <f>('01_Historical_IS'!B3/('02_Historical_BS'!B17-'02_Historical_BS'!B25))</f>
        <v>0.43907343360411805</v>
      </c>
      <c r="O13" s="502">
        <f>('01_Historical_IS'!C3/('02_Historical_BS'!C17-'02_Historical_BS'!C25))</f>
        <v>0.41842316571313859</v>
      </c>
      <c r="P13" s="502">
        <f>('01_Historical_IS'!D3/('02_Historical_BS'!D17-'02_Historical_BS'!D25))</f>
        <v>0.77743435685606166</v>
      </c>
      <c r="Q13" s="502">
        <f>('01_Historical_IS'!E3/('02_Historical_BS'!E17-'02_Historical_BS'!E25))</f>
        <v>0.48957293500553567</v>
      </c>
      <c r="R13" s="502">
        <f>('01_Historical_IS'!F3/('02_Historical_BS'!F17-'02_Historical_BS'!F25))</f>
        <v>0.65119610064775424</v>
      </c>
      <c r="S13" s="269"/>
    </row>
    <row r="14" spans="1:19" s="4" customFormat="1" ht="15.6" customHeight="1" x14ac:dyDescent="0.3">
      <c r="A14" s="474" t="s">
        <v>579</v>
      </c>
      <c r="B14" s="496"/>
      <c r="C14" s="500">
        <f>'01_Historical_IS'!B12/'01_Historical_IS'!B3</f>
        <v>0.2606704524638212</v>
      </c>
      <c r="D14" s="500">
        <f>'01_Historical_IS'!C12/'01_Historical_IS'!C3</f>
        <v>0.27178410794602698</v>
      </c>
      <c r="E14" s="500">
        <f>'01_Historical_IS'!D12/'01_Historical_IS'!D3</f>
        <v>0.37307720888756779</v>
      </c>
      <c r="F14" s="500">
        <f>'01_Historical_IS'!E12/'01_Historical_IS'!E3</f>
        <v>0.1565952398606065</v>
      </c>
      <c r="G14" s="500">
        <f>'01_Historical_IS'!F12/'01_Historical_IS'!F3</f>
        <v>0.54121663766783756</v>
      </c>
      <c r="H14" s="500">
        <f>'01_Historical_IS'!G12/'01_Historical_IS'!G3</f>
        <v>0.62417526839697468</v>
      </c>
      <c r="I14" s="269"/>
      <c r="J14" s="269"/>
      <c r="K14" s="474" t="s">
        <v>580</v>
      </c>
      <c r="L14" s="496"/>
      <c r="M14" s="498"/>
      <c r="N14" s="507">
        <f t="shared" ref="N14:R15" si="0">365/N10</f>
        <v>66.791686574295269</v>
      </c>
      <c r="O14" s="507">
        <f t="shared" si="0"/>
        <v>68.94745206059963</v>
      </c>
      <c r="P14" s="507">
        <f t="shared" si="0"/>
        <v>37.480203133069374</v>
      </c>
      <c r="Q14" s="507">
        <f t="shared" si="0"/>
        <v>59.270501173214612</v>
      </c>
      <c r="R14" s="507">
        <f t="shared" si="0"/>
        <v>70.564355525598216</v>
      </c>
      <c r="S14" s="269"/>
    </row>
    <row r="15" spans="1:19" s="4" customFormat="1" ht="15.6" customHeight="1" x14ac:dyDescent="0.3">
      <c r="A15" s="474" t="s">
        <v>581</v>
      </c>
      <c r="B15" s="496"/>
      <c r="C15" s="500">
        <f>'01_Historical_IS'!B19/'01_Historical_IS'!B3</f>
        <v>0.27202784392745927</v>
      </c>
      <c r="D15" s="500">
        <f>'01_Historical_IS'!C19/'01_Historical_IS'!C3</f>
        <v>0.26440779610194903</v>
      </c>
      <c r="E15" s="500">
        <f>'01_Historical_IS'!D19/'01_Historical_IS'!D3</f>
        <v>0.36936167050605634</v>
      </c>
      <c r="F15" s="500">
        <f>'01_Historical_IS'!E19/'01_Historical_IS'!E3</f>
        <v>0.15500111218210127</v>
      </c>
      <c r="G15" s="500">
        <f>'01_Historical_IS'!F19/'01_Historical_IS'!F3</f>
        <v>0.55510324677456424</v>
      </c>
      <c r="H15" s="500">
        <f>'01_Historical_IS'!G19/'01_Historical_IS'!G3</f>
        <v>0.64389219675548093</v>
      </c>
      <c r="I15" s="269"/>
      <c r="J15" s="269"/>
      <c r="K15" s="474" t="s">
        <v>582</v>
      </c>
      <c r="L15" s="496"/>
      <c r="M15" s="498"/>
      <c r="N15" s="507">
        <f t="shared" si="0"/>
        <v>106.14588310240485</v>
      </c>
      <c r="O15" s="507">
        <f t="shared" si="0"/>
        <v>100.73365822650705</v>
      </c>
      <c r="P15" s="507">
        <f t="shared" si="0"/>
        <v>162.07910139438803</v>
      </c>
      <c r="Q15" s="507">
        <f t="shared" si="0"/>
        <v>115.99362252572048</v>
      </c>
      <c r="R15" s="507">
        <f t="shared" si="0"/>
        <v>112.72404179049603</v>
      </c>
      <c r="S15" s="269"/>
    </row>
    <row r="16" spans="1:19" s="4" customFormat="1" ht="15.6" customHeight="1" x14ac:dyDescent="0.3">
      <c r="A16" s="474" t="s">
        <v>583</v>
      </c>
      <c r="B16" s="496"/>
      <c r="C16" s="500">
        <f>'01_Historical_IS'!B21/'01_Historical_IS'!B3</f>
        <v>0.25609085913170909</v>
      </c>
      <c r="D16" s="500">
        <f>'01_Historical_IS'!C21/'01_Historical_IS'!C3</f>
        <v>0.25979010494752625</v>
      </c>
      <c r="E16" s="500">
        <f>'01_Historical_IS'!D21/'01_Historical_IS'!D3</f>
        <v>0.36233930296499961</v>
      </c>
      <c r="F16" s="500">
        <f>'01_Historical_IS'!E21/'01_Historical_IS'!E3</f>
        <v>0.16193371394676356</v>
      </c>
      <c r="G16" s="500">
        <f>'01_Historical_IS'!F21/'01_Historical_IS'!F3</f>
        <v>0.4884934834706674</v>
      </c>
      <c r="H16" s="500">
        <f>'01_Historical_IS'!G21/'01_Historical_IS'!G3</f>
        <v>0.55848027157712443</v>
      </c>
      <c r="I16" s="269"/>
      <c r="J16" s="269"/>
      <c r="K16" s="474" t="s">
        <v>584</v>
      </c>
      <c r="L16" s="496"/>
      <c r="M16" s="498"/>
      <c r="N16" s="507">
        <f>365/N9</f>
        <v>53.168515742128932</v>
      </c>
      <c r="O16" s="507">
        <f>365/O9</f>
        <v>63.061975180203611</v>
      </c>
      <c r="P16" s="507">
        <f>365/P9</f>
        <v>51.785237636242307</v>
      </c>
      <c r="Q16" s="507">
        <f>365/Q9</f>
        <v>59.906683956534579</v>
      </c>
      <c r="R16" s="507">
        <f>365/R9</f>
        <v>64.512785734537957</v>
      </c>
      <c r="S16" s="269"/>
    </row>
    <row r="17" spans="1:19" s="4" customFormat="1" ht="15.6" customHeight="1" x14ac:dyDescent="0.3">
      <c r="A17" s="496"/>
      <c r="B17" s="496"/>
      <c r="C17" s="496"/>
      <c r="D17" s="496"/>
      <c r="E17" s="496"/>
      <c r="F17" s="496"/>
      <c r="G17" s="496"/>
      <c r="H17" s="496"/>
      <c r="I17" s="269"/>
      <c r="J17" s="269"/>
      <c r="K17" s="474" t="s">
        <v>585</v>
      </c>
      <c r="L17" s="496"/>
      <c r="M17" s="498"/>
      <c r="N17" s="507">
        <f>(N16+N15)-N14</f>
        <v>92.522712270238529</v>
      </c>
      <c r="O17" s="507">
        <f>(O16+O15)-O14</f>
        <v>94.848181346111033</v>
      </c>
      <c r="P17" s="507">
        <f>(P16+P15)-P14</f>
        <v>176.38413589756095</v>
      </c>
      <c r="Q17" s="507">
        <f>(Q16+Q15)-Q14</f>
        <v>116.62980530904046</v>
      </c>
      <c r="R17" s="507">
        <f>(R16+R15)-R14</f>
        <v>106.67247199943577</v>
      </c>
      <c r="S17" s="269"/>
    </row>
    <row r="18" spans="1:19" s="4" customFormat="1" ht="18" customHeight="1" x14ac:dyDescent="0.3">
      <c r="A18" s="734" t="s">
        <v>586</v>
      </c>
      <c r="B18" s="725"/>
      <c r="C18" s="725"/>
      <c r="D18" s="725"/>
      <c r="E18" s="725"/>
      <c r="F18" s="725"/>
      <c r="G18" s="725"/>
      <c r="H18" s="725"/>
      <c r="I18" s="269"/>
      <c r="J18" s="269"/>
      <c r="K18" s="474"/>
      <c r="L18" s="496"/>
      <c r="M18" s="498"/>
      <c r="N18" s="498"/>
      <c r="O18" s="270"/>
      <c r="P18" s="270"/>
      <c r="Q18" s="270"/>
      <c r="R18" s="270"/>
      <c r="S18" s="269"/>
    </row>
    <row r="19" spans="1:19" s="4" customFormat="1" ht="18" customHeight="1" x14ac:dyDescent="0.3">
      <c r="A19" s="4" t="s">
        <v>587</v>
      </c>
      <c r="B19" s="271"/>
      <c r="C19" s="270">
        <v>0</v>
      </c>
      <c r="D19" s="272">
        <f>'02_Historical_BS'!B10/'02_Historical_BS'!B25</f>
        <v>4.0904458598726112</v>
      </c>
      <c r="E19" s="272">
        <f>'02_Historical_BS'!C10/'02_Historical_BS'!C25</f>
        <v>6.6502883506343711</v>
      </c>
      <c r="F19" s="272">
        <f>'02_Historical_BS'!D10/'02_Historical_BS'!D25</f>
        <v>3.5156178576870332</v>
      </c>
      <c r="G19" s="272">
        <f>'02_Historical_BS'!E10/'02_Historical_BS'!E25</f>
        <v>4.1712915059730973</v>
      </c>
      <c r="H19" s="272">
        <f>'02_Historical_BS'!F10/'02_Historical_BS'!F25</f>
        <v>4.4398514988640772</v>
      </c>
      <c r="I19" s="269"/>
      <c r="J19" s="269"/>
      <c r="K19" s="737" t="s">
        <v>588</v>
      </c>
      <c r="L19" s="725"/>
      <c r="M19" s="725"/>
      <c r="N19" s="725"/>
      <c r="O19" s="725"/>
      <c r="P19" s="725"/>
      <c r="Q19" s="725"/>
      <c r="R19" s="725"/>
      <c r="S19" s="269"/>
    </row>
    <row r="20" spans="1:19" s="4" customFormat="1" ht="15.6" customHeight="1" x14ac:dyDescent="0.3">
      <c r="A20" s="4" t="s">
        <v>589</v>
      </c>
      <c r="B20" s="271"/>
      <c r="C20" s="270">
        <v>0</v>
      </c>
      <c r="D20" s="272">
        <f>('02_Historical_BS'!B6+'02_Historical_BS'!B7)/'02_Historical_BS'!B25</f>
        <v>3.5643312101910829</v>
      </c>
      <c r="E20" s="272">
        <f>('02_Historical_BS'!C6+'02_Historical_BS'!C7)/'02_Historical_BS'!C25</f>
        <v>5.9649365628604381</v>
      </c>
      <c r="F20" s="272">
        <f>('02_Historical_BS'!D6+'02_Historical_BS'!D7)/'02_Historical_BS'!D25</f>
        <v>2.6090202651226573</v>
      </c>
      <c r="G20" s="272">
        <f>('02_Historical_BS'!E6+'02_Historical_BS'!E7)/'02_Historical_BS'!E25</f>
        <v>3.3847239206095381</v>
      </c>
      <c r="H20" s="272">
        <f>('02_Historical_BS'!F6+'02_Historical_BS'!F7)/'02_Historical_BS'!F25</f>
        <v>3.672355516152269</v>
      </c>
      <c r="I20" s="269"/>
      <c r="J20" s="269"/>
      <c r="K20" s="474" t="s">
        <v>590</v>
      </c>
      <c r="L20" s="496"/>
      <c r="M20" s="496"/>
      <c r="N20" s="496"/>
      <c r="P20" s="9">
        <f>'04c_Projection_CF'!B$19/'01_Historical_IS'!E3</f>
        <v>0.20912730777786015</v>
      </c>
      <c r="Q20" s="9">
        <f>'04c_Projection_CF'!C$19/'01_Historical_IS'!F3</f>
        <v>0.46108138275171529</v>
      </c>
      <c r="R20" s="9">
        <f>'04c_Projection_CF'!D$19/'01_Historical_IS'!G3</f>
        <v>0.49111473826984531</v>
      </c>
      <c r="S20" s="269"/>
    </row>
    <row r="21" spans="1:19" s="4" customFormat="1" ht="15.6" customHeight="1" x14ac:dyDescent="0.3">
      <c r="A21" s="4" t="s">
        <v>591</v>
      </c>
      <c r="B21" s="271"/>
      <c r="C21" s="270">
        <v>0</v>
      </c>
      <c r="D21" s="272">
        <f>'02_Historical_BS'!B6/'02_Historical_BS'!B25</f>
        <v>2.9454777070063694</v>
      </c>
      <c r="E21" s="272">
        <f>'02_Historical_BS'!C6/'02_Historical_BS'!C25</f>
        <v>4.8922722029988464</v>
      </c>
      <c r="F21" s="272">
        <f>'02_Historical_BS'!D6/'02_Historical_BS'!D25</f>
        <v>2.025902788358982</v>
      </c>
      <c r="G21" s="272">
        <f>'02_Historical_BS'!E6/'02_Historical_BS'!E25</f>
        <v>2.4441727024738973</v>
      </c>
      <c r="H21" s="272">
        <f>'02_Historical_BS'!F6/'02_Historical_BS'!F25</f>
        <v>2.3943037623981827</v>
      </c>
      <c r="I21" s="269"/>
      <c r="J21" s="269"/>
      <c r="K21" s="474" t="s">
        <v>592</v>
      </c>
      <c r="L21" s="496"/>
      <c r="M21" s="496"/>
      <c r="N21" s="496"/>
      <c r="P21" s="9">
        <f>'04c_Projection_CF'!B$19/'02_Historical_BS'!D17</f>
        <v>0.13697732018843184</v>
      </c>
      <c r="Q21" s="9">
        <f>'04c_Projection_CF'!C$19/'02_Historical_BS'!E17</f>
        <v>0.42736733203505356</v>
      </c>
      <c r="R21" s="9">
        <f>'04c_Projection_CF'!D$19/'02_Historical_BS'!F17</f>
        <v>0.57426904776838916</v>
      </c>
      <c r="S21" s="269"/>
    </row>
    <row r="22" spans="1:19" s="4" customFormat="1" ht="15.6" customHeight="1" x14ac:dyDescent="0.3">
      <c r="D22" s="270"/>
      <c r="E22" s="498"/>
      <c r="F22" s="498"/>
      <c r="G22" s="498"/>
      <c r="H22" s="498"/>
      <c r="I22" s="269"/>
      <c r="J22" s="269"/>
      <c r="K22" s="474" t="s">
        <v>593</v>
      </c>
      <c r="L22" s="496"/>
      <c r="M22" s="496"/>
      <c r="N22" s="496"/>
      <c r="P22" s="9">
        <f>('04c_Projection_CF'!B$19/('02_Historical_BS'!B26+'02_Historical_BS'!B20))</f>
        <v>0.81013930776963949</v>
      </c>
      <c r="Q22" s="9">
        <f>('04c_Projection_CF'!C$19/('02_Historical_BS'!C26+'02_Historical_BS'!C20))</f>
        <v>2.5662342408185639</v>
      </c>
      <c r="R22" s="9">
        <f>('04c_Projection_CF'!D$19/('02_Historical_BS'!D26+'02_Historical_BS'!D20))</f>
        <v>5.8512736236647491</v>
      </c>
      <c r="S22" s="269"/>
    </row>
    <row r="23" spans="1:19" s="4" customFormat="1" ht="18" customHeight="1" x14ac:dyDescent="0.3">
      <c r="A23" s="737" t="s">
        <v>594</v>
      </c>
      <c r="B23" s="725"/>
      <c r="C23" s="725"/>
      <c r="D23" s="725"/>
      <c r="E23" s="725"/>
      <c r="F23" s="725"/>
      <c r="G23" s="725"/>
      <c r="H23" s="725"/>
      <c r="I23" s="269"/>
      <c r="J23" s="269"/>
      <c r="K23" s="269"/>
      <c r="L23" s="269"/>
      <c r="M23" s="269"/>
    </row>
    <row r="24" spans="1:19" s="4" customFormat="1" ht="17.399999999999999" customHeight="1" x14ac:dyDescent="0.3">
      <c r="A24" s="735" t="s">
        <v>595</v>
      </c>
      <c r="B24" s="712"/>
      <c r="C24" s="273"/>
      <c r="D24" s="274">
        <f>'02_Historical_BS'!B31/'02_Historical_BS'!B37</f>
        <v>0.7043153969099627</v>
      </c>
      <c r="E24" s="274">
        <f>'02_Historical_BS'!C31/'02_Historical_BS'!C37</f>
        <v>0.66041635352472572</v>
      </c>
      <c r="F24" s="274">
        <f>'02_Historical_BS'!D31/'02_Historical_BS'!D37</f>
        <v>0.8633545993393964</v>
      </c>
      <c r="G24" s="274">
        <f>'02_Historical_BS'!E31/'02_Historical_BS'!E37</f>
        <v>0.52934059286146395</v>
      </c>
      <c r="H24" s="274">
        <f>'02_Historical_BS'!F31/'02_Historical_BS'!F37</f>
        <v>0.40684760548110982</v>
      </c>
      <c r="I24" s="269"/>
      <c r="J24" s="269"/>
      <c r="K24" s="269"/>
      <c r="L24" s="269"/>
      <c r="M24" s="269"/>
    </row>
    <row r="25" spans="1:19" s="4" customFormat="1" ht="15.6" customHeight="1" x14ac:dyDescent="0.3">
      <c r="A25" s="5" t="s">
        <v>596</v>
      </c>
      <c r="B25" s="275"/>
      <c r="C25" s="270"/>
      <c r="D25" s="274">
        <f>'02_Historical_BS'!B31/'02_Historical_BS'!B17</f>
        <v>0.41325414191934978</v>
      </c>
      <c r="E25" s="274">
        <f>'02_Historical_BS'!C31/'02_Historical_BS'!C17</f>
        <v>0.39774141715889288</v>
      </c>
      <c r="F25" s="274">
        <f>'02_Historical_BS'!D31/'02_Historical_BS'!D17</f>
        <v>0.46333349521635664</v>
      </c>
      <c r="G25" s="274">
        <f>'02_Historical_BS'!E31/'02_Historical_BS'!E17</f>
        <v>0.346123417721519</v>
      </c>
      <c r="H25" s="274">
        <f>'02_Historical_BS'!F31/'02_Historical_BS'!F17</f>
        <v>0.28919095707027714</v>
      </c>
      <c r="I25" s="269"/>
      <c r="J25" s="269"/>
      <c r="K25" s="269"/>
      <c r="L25" s="269"/>
      <c r="M25" s="269"/>
    </row>
    <row r="26" spans="1:19" s="4" customFormat="1" ht="15" customHeight="1" x14ac:dyDescent="0.3">
      <c r="A26" s="735" t="s">
        <v>566</v>
      </c>
      <c r="B26" s="712"/>
      <c r="C26" s="276">
        <f>'01_Historical_IS'!B12/-'01_Historical_IS'!B16</f>
        <v>54.730769230769234</v>
      </c>
      <c r="D26" s="276">
        <f>'01_Historical_IS'!C12/-'01_Historical_IS'!C16</f>
        <v>24.630434782608695</v>
      </c>
      <c r="E26" s="276">
        <f>'01_Historical_IS'!D12/-'01_Historical_IS'!D16</f>
        <v>42.546610169491522</v>
      </c>
      <c r="F26" s="276">
        <f>'01_Historical_IS'!E12/-'01_Historical_IS'!E16</f>
        <v>16.122137404580151</v>
      </c>
      <c r="G26" s="276">
        <f>'01_Historical_IS'!F12/-'01_Historical_IS'!F16</f>
        <v>128.29571984435799</v>
      </c>
      <c r="H26" s="276">
        <f>'01_Historical_IS'!G12/-'01_Historical_IS'!G16</f>
        <v>329.76923076923077</v>
      </c>
      <c r="I26" s="269"/>
      <c r="J26" s="269"/>
      <c r="K26" s="269"/>
      <c r="L26" s="269"/>
      <c r="M26" s="269"/>
    </row>
    <row r="27" spans="1:19" s="4" customFormat="1" ht="17.399999999999999" customHeight="1" x14ac:dyDescent="0.3">
      <c r="A27" s="735" t="s">
        <v>597</v>
      </c>
      <c r="B27" s="712"/>
      <c r="C27" s="498"/>
      <c r="D27" s="501">
        <f>'02_Historical_BS'!B17/'02_Historical_BS'!B37</f>
        <v>1.7043153969099627</v>
      </c>
      <c r="E27" s="501">
        <f>'02_Historical_BS'!C17/'02_Historical_BS'!C37</f>
        <v>1.6604163535247256</v>
      </c>
      <c r="F27" s="501">
        <f>'02_Historical_BS'!D17/'02_Historical_BS'!D37</f>
        <v>1.8633545993393965</v>
      </c>
      <c r="G27" s="501">
        <f>'02_Historical_BS'!E17/'02_Historical_BS'!E37</f>
        <v>1.5293405928614641</v>
      </c>
      <c r="H27" s="501">
        <f>'02_Historical_BS'!F17/'02_Historical_BS'!F37</f>
        <v>1.4068476054811099</v>
      </c>
      <c r="I27" s="269"/>
      <c r="J27" s="269"/>
      <c r="K27" s="269"/>
      <c r="L27" s="269"/>
      <c r="M27" s="269"/>
    </row>
    <row r="28" spans="1:19" s="4" customFormat="1" ht="15.6" customHeight="1" x14ac:dyDescent="0.3">
      <c r="I28" s="269"/>
      <c r="J28" s="269"/>
      <c r="K28" s="269"/>
      <c r="L28" s="269"/>
      <c r="M28" s="269"/>
    </row>
    <row r="29" spans="1:19" s="4" customFormat="1" ht="18" customHeight="1" x14ac:dyDescent="0.3">
      <c r="A29" s="737" t="s">
        <v>598</v>
      </c>
      <c r="B29" s="725"/>
      <c r="C29" s="725"/>
      <c r="D29" s="725"/>
      <c r="E29" s="725"/>
      <c r="F29" s="725"/>
      <c r="G29" s="725"/>
      <c r="H29" s="725"/>
      <c r="I29" s="269"/>
      <c r="J29" s="269"/>
      <c r="K29" s="269"/>
      <c r="L29" s="269"/>
      <c r="M29" s="269"/>
    </row>
    <row r="30" spans="1:19" s="4" customFormat="1" ht="15.6" customHeight="1" x14ac:dyDescent="0.3">
      <c r="A30" s="4" t="s">
        <v>599</v>
      </c>
      <c r="C30" s="9">
        <f>'01_Historical_IS'!B4/'01_Historical_IS'!B3</f>
        <v>0.38010624656530501</v>
      </c>
      <c r="D30" s="9">
        <f>'01_Historical_IS'!C4/'01_Historical_IS'!C3</f>
        <v>0.37655172413793103</v>
      </c>
      <c r="E30" s="9">
        <f>'01_Historical_IS'!D4/'01_Historical_IS'!D3</f>
        <v>0.35070966783086871</v>
      </c>
      <c r="F30" s="9">
        <f>'01_Historical_IS'!E4/'01_Historical_IS'!E3</f>
        <v>0.43071105509008673</v>
      </c>
      <c r="G30" s="9">
        <f>'01_Historical_IS'!F4/'01_Historical_IS'!F3</f>
        <v>0.27282426709563046</v>
      </c>
      <c r="H30" s="9">
        <f>'01_Historical_IS'!G4/'01_Historical_IS'!G3</f>
        <v>0.25011302941830083</v>
      </c>
      <c r="I30" s="269"/>
      <c r="J30" s="269"/>
      <c r="K30" s="269"/>
      <c r="L30" s="269"/>
      <c r="M30" s="269"/>
    </row>
    <row r="31" spans="1:19" s="4" customFormat="1" ht="15.6" customHeight="1" x14ac:dyDescent="0.3">
      <c r="A31" s="474" t="s">
        <v>600</v>
      </c>
      <c r="B31" s="496"/>
      <c r="C31" s="502">
        <f>'01_Historical_IS'!B13/'01_Historical_IS'!B3</f>
        <v>3.4896501190694269E-2</v>
      </c>
      <c r="D31" s="502">
        <f>'01_Historical_IS'!C13/'01_Historical_IS'!C3</f>
        <v>6.5847076461769113E-2</v>
      </c>
      <c r="E31" s="502">
        <f>'01_Historical_IS'!D13/'01_Historical_IS'!D3</f>
        <v>4.362042059894479E-2</v>
      </c>
      <c r="F31" s="502">
        <f>'01_Historical_IS'!E13/'01_Historical_IS'!E3</f>
        <v>5.7240305479350488E-2</v>
      </c>
      <c r="G31" s="502">
        <f>'01_Historical_IS'!F13/'01_Historical_IS'!F3</f>
        <v>2.4752962804898065E-2</v>
      </c>
      <c r="H31" s="502">
        <f>'01_Historical_IS'!G13/'01_Historical_IS'!G3</f>
        <v>1.4283853268657517E-2</v>
      </c>
      <c r="I31" s="269"/>
      <c r="J31" s="269"/>
      <c r="K31" s="269"/>
      <c r="L31" s="269"/>
      <c r="M31" s="269"/>
    </row>
    <row r="32" spans="1:19" s="4" customFormat="1" ht="15.6" customHeight="1" x14ac:dyDescent="0.3">
      <c r="A32" s="474" t="s">
        <v>601</v>
      </c>
      <c r="B32" s="496"/>
      <c r="C32" s="502">
        <f>'01_Historical_IS'!B12/'01_Historical_IS'!B3</f>
        <v>0.2606704524638212</v>
      </c>
      <c r="D32" s="502">
        <f>'01_Historical_IS'!C12/'01_Historical_IS'!C3</f>
        <v>0.27178410794602698</v>
      </c>
      <c r="E32" s="502">
        <f>'01_Historical_IS'!D12/'01_Historical_IS'!D3</f>
        <v>0.37307720888756779</v>
      </c>
      <c r="F32" s="502">
        <f>'01_Historical_IS'!E12/'01_Historical_IS'!E3</f>
        <v>0.1565952398606065</v>
      </c>
      <c r="G32" s="502">
        <f>'01_Historical_IS'!F12/'01_Historical_IS'!F3</f>
        <v>0.54121663766783756</v>
      </c>
      <c r="H32" s="502">
        <f>'01_Historical_IS'!G12/'01_Historical_IS'!G3</f>
        <v>0.62417526839697468</v>
      </c>
      <c r="I32" s="269"/>
      <c r="J32" s="269"/>
      <c r="K32" s="269"/>
      <c r="L32" s="269"/>
      <c r="M32" s="269"/>
    </row>
    <row r="33" spans="1:13" s="4" customFormat="1" ht="15.6" customHeight="1" x14ac:dyDescent="0.3">
      <c r="A33" s="496"/>
      <c r="B33" s="496"/>
      <c r="C33" s="498"/>
      <c r="D33" s="498"/>
      <c r="E33" s="498"/>
      <c r="F33" s="498"/>
      <c r="G33" s="498"/>
      <c r="H33" s="498"/>
      <c r="I33" s="269"/>
      <c r="J33" s="269"/>
      <c r="K33" s="269"/>
      <c r="L33" s="269"/>
      <c r="M33" s="269"/>
    </row>
    <row r="34" spans="1:13" s="4" customFormat="1" ht="15.6" customHeight="1" x14ac:dyDescent="0.3">
      <c r="J34" s="269"/>
      <c r="K34" s="269"/>
      <c r="L34" s="269"/>
      <c r="M34" s="269"/>
    </row>
    <row r="35" spans="1:13" s="4" customFormat="1" ht="15.6" customHeight="1" x14ac:dyDescent="0.3">
      <c r="J35" s="269"/>
      <c r="K35" s="269"/>
      <c r="L35" s="269"/>
      <c r="M35" s="269"/>
    </row>
    <row r="36" spans="1:13" s="4" customFormat="1" ht="15.6" customHeight="1" x14ac:dyDescent="0.3">
      <c r="J36" s="269"/>
      <c r="K36" s="269"/>
      <c r="L36" s="269"/>
      <c r="M36" s="269"/>
    </row>
    <row r="37" spans="1:13" s="4" customFormat="1" ht="15.6" customHeight="1" x14ac:dyDescent="0.3">
      <c r="J37" s="269"/>
      <c r="K37" s="269"/>
      <c r="L37" s="269"/>
      <c r="M37" s="269"/>
    </row>
    <row r="38" spans="1:13" s="4" customFormat="1" ht="15.6" customHeight="1" x14ac:dyDescent="0.3">
      <c r="J38" s="269"/>
      <c r="K38" s="269"/>
      <c r="L38" s="269"/>
      <c r="M38" s="269"/>
    </row>
    <row r="39" spans="1:13" s="4" customFormat="1" ht="15.6" customHeight="1" x14ac:dyDescent="0.3">
      <c r="J39" s="269"/>
      <c r="K39" s="269"/>
      <c r="L39" s="269"/>
      <c r="M39" s="269"/>
    </row>
    <row r="40" spans="1:13" s="4" customFormat="1" ht="15.6" customHeight="1" x14ac:dyDescent="0.3">
      <c r="J40" s="269"/>
      <c r="K40" s="269"/>
      <c r="L40" s="269"/>
      <c r="M40" s="269"/>
    </row>
    <row r="41" spans="1:13" s="4" customFormat="1" ht="15.6" customHeight="1" x14ac:dyDescent="0.3">
      <c r="J41" s="269"/>
      <c r="K41" s="269"/>
      <c r="L41" s="269"/>
      <c r="M41" s="269"/>
    </row>
    <row r="42" spans="1:13" s="4" customFormat="1" ht="15.6" customHeight="1" x14ac:dyDescent="0.3">
      <c r="J42" s="269"/>
      <c r="K42" s="269"/>
      <c r="L42" s="269"/>
      <c r="M42" s="269"/>
    </row>
    <row r="43" spans="1:13" s="4" customFormat="1" ht="15.6" customHeight="1" x14ac:dyDescent="0.3">
      <c r="J43" s="269"/>
      <c r="K43" s="269"/>
      <c r="L43" s="269"/>
      <c r="M43" s="269"/>
    </row>
    <row r="44" spans="1:13" s="4" customFormat="1" ht="15.6" customHeight="1" x14ac:dyDescent="0.3">
      <c r="J44" s="269"/>
      <c r="K44" s="269"/>
      <c r="L44" s="269"/>
      <c r="M44" s="269"/>
    </row>
    <row r="45" spans="1:13" s="4" customFormat="1" ht="15.6" customHeight="1" x14ac:dyDescent="0.3"/>
    <row r="46" spans="1:13" s="4" customFormat="1" ht="15.6" customHeight="1" x14ac:dyDescent="0.3"/>
    <row r="47" spans="1:13" s="4" customFormat="1" ht="15.6" customHeight="1" x14ac:dyDescent="0.3"/>
    <row r="48" spans="1:13" s="4" customFormat="1" ht="15.6" customHeight="1" x14ac:dyDescent="0.3"/>
    <row r="49" s="4" customFormat="1" ht="15.6" customHeight="1" x14ac:dyDescent="0.3"/>
    <row r="50" s="4" customFormat="1" ht="15.6" customHeight="1" x14ac:dyDescent="0.3"/>
    <row r="51" s="4" customFormat="1" ht="15.6" customHeight="1" x14ac:dyDescent="0.3"/>
    <row r="52" s="4" customFormat="1" ht="15.6" customHeight="1" x14ac:dyDescent="0.3"/>
    <row r="53" s="4" customFormat="1" ht="15.6" customHeight="1" x14ac:dyDescent="0.3"/>
    <row r="54" s="4" customFormat="1" ht="15.6" customHeight="1" x14ac:dyDescent="0.3"/>
    <row r="55" s="4" customFormat="1" ht="15.6" customHeight="1" x14ac:dyDescent="0.3"/>
    <row r="56" s="4" customFormat="1" ht="15.6" customHeight="1" x14ac:dyDescent="0.3"/>
  </sheetData>
  <mergeCells count="11">
    <mergeCell ref="K8:R8"/>
    <mergeCell ref="K19:R19"/>
    <mergeCell ref="A1:H1"/>
    <mergeCell ref="A23:H23"/>
    <mergeCell ref="A27:B27"/>
    <mergeCell ref="A18:H18"/>
    <mergeCell ref="A26:B26"/>
    <mergeCell ref="A3:H3"/>
    <mergeCell ref="A24:B24"/>
    <mergeCell ref="A29:H29"/>
    <mergeCell ref="A10:H10"/>
  </mergeCells>
  <pageMargins left="0.7" right="0.7" top="0.75" bottom="0.75" header="0.3" footer="0.3"/>
  <pageSetup paperSize="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7"/>
  <sheetViews>
    <sheetView showGridLines="0" zoomScale="73" workbookViewId="0">
      <selection activeCell="S26" sqref="S26"/>
    </sheetView>
  </sheetViews>
  <sheetFormatPr defaultRowHeight="14.4" x14ac:dyDescent="0.3"/>
  <cols>
    <col min="1" max="1" width="35.33203125" bestFit="1" customWidth="1"/>
    <col min="2" max="5" width="10.44140625" bestFit="1" customWidth="1"/>
    <col min="6" max="6" width="11.5546875" bestFit="1" customWidth="1"/>
    <col min="7" max="7" width="11.33203125" bestFit="1" customWidth="1"/>
    <col min="8" max="10" width="9.88671875" bestFit="1" customWidth="1"/>
    <col min="11" max="11" width="10.44140625" bestFit="1" customWidth="1"/>
  </cols>
  <sheetData>
    <row r="1" spans="1:17" ht="21" customHeight="1" x14ac:dyDescent="0.3">
      <c r="A1" s="739" t="s">
        <v>602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</row>
    <row r="3" spans="1:17" ht="15.6" customHeight="1" x14ac:dyDescent="0.3">
      <c r="A3" s="740" t="s">
        <v>602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</row>
    <row r="4" spans="1:17" ht="15.6" customHeight="1" x14ac:dyDescent="0.3">
      <c r="A4" s="4" t="s">
        <v>603</v>
      </c>
      <c r="B4" s="447" t="s">
        <v>188</v>
      </c>
      <c r="C4" s="447" t="s">
        <v>189</v>
      </c>
      <c r="D4" s="447" t="s">
        <v>190</v>
      </c>
      <c r="E4" s="447" t="s">
        <v>191</v>
      </c>
      <c r="F4" s="447" t="s">
        <v>192</v>
      </c>
      <c r="G4" s="447" t="s">
        <v>6</v>
      </c>
      <c r="H4" s="447" t="s">
        <v>7</v>
      </c>
      <c r="I4" s="447" t="s">
        <v>8</v>
      </c>
      <c r="J4" s="447" t="s">
        <v>9</v>
      </c>
      <c r="K4" s="447" t="s">
        <v>10</v>
      </c>
    </row>
    <row r="5" spans="1:17" ht="15.6" customHeight="1" x14ac:dyDescent="0.3">
      <c r="A5" s="4" t="s">
        <v>604</v>
      </c>
      <c r="B5" s="210">
        <f>'01_Historical_IS'!C3</f>
        <v>16675</v>
      </c>
      <c r="C5" s="210">
        <f>'01_Historical_IS'!D3</f>
        <v>26914</v>
      </c>
      <c r="D5" s="210">
        <f>'01_Historical_IS'!E3</f>
        <v>26974</v>
      </c>
      <c r="E5" s="210">
        <f>'01_Historical_IS'!F3</f>
        <v>60922</v>
      </c>
      <c r="F5" s="210">
        <f>'01_Historical_IS'!G3</f>
        <v>130497</v>
      </c>
      <c r="G5" s="210">
        <f>'04a_Projection_IS'!H81</f>
        <v>211566.25999999998</v>
      </c>
      <c r="H5" s="210">
        <f>'04a_Projection_IS'!I81</f>
        <v>295121.28599999996</v>
      </c>
      <c r="I5" s="210">
        <f>'04a_Projection_IS'!J81</f>
        <v>371459.25604800001</v>
      </c>
      <c r="J5" s="210">
        <f>'04a_Projection_IS'!K81</f>
        <v>429310.52072855999</v>
      </c>
      <c r="K5" s="210">
        <f>'04a_Projection_IS'!L81</f>
        <v>521670.89465200074</v>
      </c>
    </row>
    <row r="6" spans="1:17" ht="15.6" customHeight="1" x14ac:dyDescent="0.3">
      <c r="A6" s="4" t="s">
        <v>408</v>
      </c>
      <c r="B6" s="210">
        <f>'01_Historical_IS'!C4</f>
        <v>6279</v>
      </c>
      <c r="C6" s="210">
        <f>'01_Historical_IS'!D4</f>
        <v>9439</v>
      </c>
      <c r="D6" s="210">
        <f>'01_Historical_IS'!E4</f>
        <v>11618</v>
      </c>
      <c r="E6" s="210">
        <f>'01_Historical_IS'!F4</f>
        <v>16621</v>
      </c>
      <c r="F6" s="210">
        <f>'01_Historical_IS'!G4</f>
        <v>32639</v>
      </c>
      <c r="G6" s="210">
        <f>'04a_Projection_IS'!H82</f>
        <v>48684.153011299873</v>
      </c>
      <c r="H6" s="210">
        <f>'04a_Projection_IS'!I82</f>
        <v>62008.827447284755</v>
      </c>
      <c r="I6" s="210">
        <f>'04a_Projection_IS'!J82</f>
        <v>70619.244472753548</v>
      </c>
      <c r="J6" s="210">
        <f>'04a_Projection_IS'!K82</f>
        <v>73031.313242283548</v>
      </c>
      <c r="K6" s="210">
        <f>'04a_Projection_IS'!L82</f>
        <v>78309.598355567054</v>
      </c>
    </row>
    <row r="7" spans="1:17" ht="15.6" customHeight="1" x14ac:dyDescent="0.3">
      <c r="A7" s="42" t="s">
        <v>159</v>
      </c>
      <c r="B7" s="508">
        <v>5864</v>
      </c>
      <c r="C7" s="508">
        <v>7434</v>
      </c>
      <c r="D7" s="508">
        <v>11132</v>
      </c>
      <c r="E7" s="508">
        <v>11329</v>
      </c>
      <c r="F7" s="508">
        <v>16405</v>
      </c>
      <c r="G7" s="210">
        <f>'04a_Projection_IS'!H89</f>
        <v>25387.9512</v>
      </c>
      <c r="H7" s="210">
        <f>'04a_Projection_IS'!I89</f>
        <v>34529.190461999999</v>
      </c>
      <c r="I7" s="210">
        <f>'04a_Projection_IS'!J89</f>
        <v>41974.895933424006</v>
      </c>
      <c r="J7" s="210">
        <f>'04a_Projection_IS'!K89</f>
        <v>47224.157280141597</v>
      </c>
      <c r="K7" s="210">
        <f>'04a_Projection_IS'!L89</f>
        <v>55818.785727764087</v>
      </c>
    </row>
    <row r="8" spans="1:17" ht="15.6" customHeight="1" x14ac:dyDescent="0.3">
      <c r="A8" s="42"/>
      <c r="B8" s="508"/>
      <c r="C8" s="508"/>
      <c r="D8" s="508"/>
      <c r="E8" s="508"/>
      <c r="F8" s="508"/>
      <c r="G8" s="210"/>
      <c r="H8" s="210"/>
      <c r="I8" s="210"/>
      <c r="J8" s="210"/>
      <c r="K8" s="210"/>
      <c r="M8" s="108"/>
      <c r="N8" s="108"/>
      <c r="O8" s="108"/>
      <c r="P8" s="108"/>
      <c r="Q8" s="108"/>
    </row>
    <row r="9" spans="1:17" ht="15.6" customHeight="1" x14ac:dyDescent="0.3">
      <c r="A9" s="4" t="s">
        <v>202</v>
      </c>
      <c r="B9" s="210">
        <v>2429</v>
      </c>
      <c r="C9" s="210">
        <v>4650</v>
      </c>
      <c r="D9" s="210">
        <v>3827</v>
      </c>
      <c r="E9" s="210">
        <v>9999</v>
      </c>
      <c r="F9" s="210">
        <v>23065</v>
      </c>
      <c r="G9" s="509">
        <f>(G22/365)*G5</f>
        <v>36814.143945308344</v>
      </c>
      <c r="H9" s="509">
        <f>(H22/365)*H5</f>
        <v>50544.804705258342</v>
      </c>
      <c r="I9" s="509">
        <f>(I22/365)*I5</f>
        <v>62601.352401072589</v>
      </c>
      <c r="J9" s="509">
        <f>(J22/365)*J5</f>
        <v>71174.727546384296</v>
      </c>
      <c r="K9" s="509">
        <f>(K22/365)*K5</f>
        <v>85057.775828408892</v>
      </c>
      <c r="M9" s="108"/>
      <c r="N9" s="108"/>
      <c r="O9" s="108"/>
      <c r="P9" s="108"/>
      <c r="Q9" s="108"/>
    </row>
    <row r="10" spans="1:17" ht="15.6" customHeight="1" x14ac:dyDescent="0.3">
      <c r="A10" s="4" t="s">
        <v>203</v>
      </c>
      <c r="B10" s="210">
        <v>1826</v>
      </c>
      <c r="C10" s="210">
        <v>2605</v>
      </c>
      <c r="D10" s="210">
        <v>5159</v>
      </c>
      <c r="E10" s="210">
        <v>5282</v>
      </c>
      <c r="F10" s="210">
        <v>10080</v>
      </c>
      <c r="G10" s="509">
        <f>(G26/365)*G6</f>
        <v>14671.936523953385</v>
      </c>
      <c r="H10" s="509">
        <f>(H26/365)*H6</f>
        <v>17838.155840999723</v>
      </c>
      <c r="I10" s="509">
        <f>(I26/365)*I6</f>
        <v>19347.738211713298</v>
      </c>
      <c r="J10" s="509">
        <f>(J26/365)*J6</f>
        <v>19008.150021964211</v>
      </c>
      <c r="K10" s="509">
        <f>(K26/365)*K6</f>
        <v>19309.216032879547</v>
      </c>
      <c r="M10" s="108"/>
      <c r="N10" s="108"/>
      <c r="O10" s="108"/>
      <c r="P10" s="108"/>
      <c r="Q10" s="108"/>
    </row>
    <row r="11" spans="1:17" ht="15.6" customHeight="1" x14ac:dyDescent="0.3">
      <c r="A11" s="4" t="s">
        <v>204</v>
      </c>
      <c r="B11" s="210">
        <v>239</v>
      </c>
      <c r="C11" s="210">
        <v>366</v>
      </c>
      <c r="D11" s="210">
        <v>791</v>
      </c>
      <c r="E11" s="210">
        <v>3080</v>
      </c>
      <c r="F11" s="210">
        <v>3771</v>
      </c>
      <c r="G11" s="509">
        <f>G7*G36</f>
        <v>5074.2629559353854</v>
      </c>
      <c r="H11" s="509">
        <f>H7*H36</f>
        <v>5865.4370655565617</v>
      </c>
      <c r="I11" s="509">
        <f>I7*I36</f>
        <v>5870.9843013738528</v>
      </c>
      <c r="J11" s="509">
        <f>J7*J36</f>
        <v>5666.8988736169913</v>
      </c>
      <c r="K11" s="509">
        <f>K7*K36</f>
        <v>5581.8785727764089</v>
      </c>
      <c r="M11" s="108"/>
    </row>
    <row r="12" spans="1:17" s="1" customFormat="1" ht="15.6" customHeight="1" x14ac:dyDescent="0.3">
      <c r="A12" s="510" t="s">
        <v>605</v>
      </c>
      <c r="B12" s="511">
        <f t="shared" ref="B12:K12" si="0">SUM(B9:B11)</f>
        <v>4494</v>
      </c>
      <c r="C12" s="511">
        <f t="shared" si="0"/>
        <v>7621</v>
      </c>
      <c r="D12" s="511">
        <f t="shared" si="0"/>
        <v>9777</v>
      </c>
      <c r="E12" s="511">
        <f t="shared" si="0"/>
        <v>18361</v>
      </c>
      <c r="F12" s="511">
        <f t="shared" si="0"/>
        <v>36916</v>
      </c>
      <c r="G12" s="511">
        <f t="shared" si="0"/>
        <v>56560.343425197119</v>
      </c>
      <c r="H12" s="511">
        <f t="shared" si="0"/>
        <v>74248.397611814624</v>
      </c>
      <c r="I12" s="511">
        <f t="shared" si="0"/>
        <v>87820.074914159748</v>
      </c>
      <c r="J12" s="511">
        <f t="shared" si="0"/>
        <v>95849.7764419655</v>
      </c>
      <c r="K12" s="511">
        <f t="shared" si="0"/>
        <v>109948.87043406484</v>
      </c>
    </row>
    <row r="13" spans="1:17" ht="15.6" customHeight="1" x14ac:dyDescent="0.3">
      <c r="A13" s="4"/>
      <c r="B13" s="210"/>
      <c r="C13" s="210"/>
      <c r="D13" s="210"/>
      <c r="E13" s="210"/>
      <c r="F13" s="210"/>
      <c r="G13" s="210"/>
      <c r="H13" s="210"/>
      <c r="I13" s="210"/>
      <c r="J13" s="210"/>
      <c r="K13" s="210"/>
    </row>
    <row r="14" spans="1:17" ht="15.6" customHeight="1" x14ac:dyDescent="0.3">
      <c r="A14" s="4" t="s">
        <v>216</v>
      </c>
      <c r="B14" s="210">
        <v>1149</v>
      </c>
      <c r="C14" s="210">
        <v>1783</v>
      </c>
      <c r="D14" s="210">
        <v>1193</v>
      </c>
      <c r="E14" s="210">
        <v>2699</v>
      </c>
      <c r="F14" s="210">
        <v>6310</v>
      </c>
      <c r="G14" s="509">
        <f>(G30/365)*G6</f>
        <v>9278.5800781936632</v>
      </c>
      <c r="H14" s="509">
        <f>(H30/365)*H6</f>
        <v>11648.206276222205</v>
      </c>
      <c r="I14" s="509">
        <f>(I30/365)*I6</f>
        <v>13072.174631523993</v>
      </c>
      <c r="J14" s="509">
        <f>(J30/365)*J6</f>
        <v>13318.581641536141</v>
      </c>
      <c r="K14" s="509">
        <f>(K30/365)*K6</f>
        <v>14066.625610003288</v>
      </c>
      <c r="M14" s="159"/>
      <c r="N14" s="159"/>
      <c r="O14" s="159"/>
      <c r="P14" s="159"/>
      <c r="Q14" s="159"/>
    </row>
    <row r="15" spans="1:17" ht="15.6" customHeight="1" x14ac:dyDescent="0.3">
      <c r="A15" s="4" t="s">
        <v>253</v>
      </c>
      <c r="B15" s="210">
        <f>SUM('02_Historical_BS'!B19:B24)</f>
        <v>2776</v>
      </c>
      <c r="C15" s="210">
        <f>SUM('02_Historical_BS'!C19:C24)</f>
        <v>2552</v>
      </c>
      <c r="D15" s="210">
        <f>SUM('02_Historical_BS'!D19:D24)</f>
        <v>5370</v>
      </c>
      <c r="E15" s="210">
        <f>SUM('02_Historical_BS'!E19:E24)</f>
        <v>7932</v>
      </c>
      <c r="F15" s="210">
        <f>SUM('02_Historical_BS'!F19:F24)</f>
        <v>11737</v>
      </c>
      <c r="G15" s="509">
        <f>(G6+G7)*G37</f>
        <v>17726.618691950629</v>
      </c>
      <c r="H15" s="509">
        <f>(H6+H7)*H37</f>
        <v>23103.064925399136</v>
      </c>
      <c r="I15" s="509">
        <f>(I6+I7)*I37</f>
        <v>26945.547384946291</v>
      </c>
      <c r="J15" s="509">
        <f>(J6+J7)*J37</f>
        <v>28779.024091055049</v>
      </c>
      <c r="K15" s="509">
        <f>(K6+K7)*K37</f>
        <v>32099.030339818484</v>
      </c>
      <c r="M15" s="159"/>
      <c r="N15" s="159"/>
      <c r="O15" s="159"/>
      <c r="P15" s="159"/>
      <c r="Q15" s="159"/>
    </row>
    <row r="16" spans="1:17" s="1" customFormat="1" ht="15.6" customHeight="1" x14ac:dyDescent="0.3">
      <c r="A16" s="510" t="s">
        <v>606</v>
      </c>
      <c r="B16" s="511">
        <f t="shared" ref="B16:K16" si="1">SUM(B14:B15)</f>
        <v>3925</v>
      </c>
      <c r="C16" s="511">
        <f t="shared" si="1"/>
        <v>4335</v>
      </c>
      <c r="D16" s="511">
        <f t="shared" si="1"/>
        <v>6563</v>
      </c>
      <c r="E16" s="511">
        <f t="shared" si="1"/>
        <v>10631</v>
      </c>
      <c r="F16" s="511">
        <f t="shared" si="1"/>
        <v>18047</v>
      </c>
      <c r="G16" s="511">
        <f t="shared" si="1"/>
        <v>27005.198770144292</v>
      </c>
      <c r="H16" s="511">
        <f t="shared" si="1"/>
        <v>34751.271201621341</v>
      </c>
      <c r="I16" s="511">
        <f t="shared" si="1"/>
        <v>40017.722016470281</v>
      </c>
      <c r="J16" s="511">
        <f t="shared" si="1"/>
        <v>42097.60573259119</v>
      </c>
      <c r="K16" s="511">
        <f t="shared" si="1"/>
        <v>46165.655949821768</v>
      </c>
    </row>
    <row r="17" spans="1:17" ht="15.6" customHeight="1" x14ac:dyDescent="0.3">
      <c r="A17" s="4"/>
      <c r="B17" s="210"/>
      <c r="C17" s="210"/>
      <c r="D17" s="210"/>
      <c r="E17" s="210"/>
      <c r="F17" s="210"/>
      <c r="G17" s="210"/>
      <c r="H17" s="210"/>
      <c r="I17" s="210"/>
      <c r="J17" s="210"/>
      <c r="K17" s="210"/>
    </row>
    <row r="18" spans="1:17" ht="15.6" customHeight="1" x14ac:dyDescent="0.3">
      <c r="A18" s="349" t="s">
        <v>607</v>
      </c>
      <c r="B18" s="416">
        <f t="shared" ref="B18:K18" si="2">B12-B16</f>
        <v>569</v>
      </c>
      <c r="C18" s="416">
        <f t="shared" si="2"/>
        <v>3286</v>
      </c>
      <c r="D18" s="416">
        <f t="shared" si="2"/>
        <v>3214</v>
      </c>
      <c r="E18" s="416">
        <f t="shared" si="2"/>
        <v>7730</v>
      </c>
      <c r="F18" s="416">
        <f t="shared" si="2"/>
        <v>18869</v>
      </c>
      <c r="G18" s="416">
        <f t="shared" si="2"/>
        <v>29555.144655052827</v>
      </c>
      <c r="H18" s="416">
        <f t="shared" si="2"/>
        <v>39497.126410193283</v>
      </c>
      <c r="I18" s="416">
        <f t="shared" si="2"/>
        <v>47802.352897689467</v>
      </c>
      <c r="J18" s="416">
        <f t="shared" si="2"/>
        <v>53752.17070937431</v>
      </c>
      <c r="K18" s="416">
        <f t="shared" si="2"/>
        <v>63783.214484243072</v>
      </c>
    </row>
    <row r="19" spans="1:17" ht="15.6" customHeight="1" x14ac:dyDescent="0.3">
      <c r="A19" s="5" t="s">
        <v>608</v>
      </c>
      <c r="B19" s="210"/>
      <c r="C19" s="210">
        <f t="shared" ref="C19:K19" si="3">C18-B18</f>
        <v>2717</v>
      </c>
      <c r="D19" s="210">
        <f t="shared" si="3"/>
        <v>-72</v>
      </c>
      <c r="E19" s="210">
        <f t="shared" si="3"/>
        <v>4516</v>
      </c>
      <c r="F19" s="210">
        <f t="shared" si="3"/>
        <v>11139</v>
      </c>
      <c r="G19" s="210">
        <f t="shared" si="3"/>
        <v>10686.144655052827</v>
      </c>
      <c r="H19" s="210">
        <f t="shared" si="3"/>
        <v>9941.9817551404558</v>
      </c>
      <c r="I19" s="210">
        <f t="shared" si="3"/>
        <v>8305.2264874961838</v>
      </c>
      <c r="J19" s="210">
        <f t="shared" si="3"/>
        <v>5949.817811684843</v>
      </c>
      <c r="K19" s="210">
        <f t="shared" si="3"/>
        <v>10031.043774868762</v>
      </c>
      <c r="M19" s="108"/>
      <c r="N19" s="108"/>
      <c r="O19" s="108"/>
      <c r="P19" s="108"/>
      <c r="Q19" s="108"/>
    </row>
    <row r="20" spans="1:17" ht="15.6" customHeight="1" x14ac:dyDescent="0.3">
      <c r="A20" s="5"/>
      <c r="B20" s="210"/>
      <c r="C20" s="210"/>
      <c r="D20" s="210"/>
      <c r="E20" s="210"/>
      <c r="F20" s="210"/>
      <c r="G20" s="210"/>
      <c r="H20" s="210"/>
      <c r="I20" s="210"/>
      <c r="J20" s="210"/>
      <c r="K20" s="210"/>
    </row>
    <row r="21" spans="1:17" ht="15.6" customHeight="1" x14ac:dyDescent="0.3">
      <c r="A21" s="5" t="s">
        <v>609</v>
      </c>
      <c r="B21" s="210">
        <f>(B9/B5)*365</f>
        <v>53.168515742128939</v>
      </c>
      <c r="C21" s="210">
        <f>(C9/C5)*365</f>
        <v>63.061975180203611</v>
      </c>
      <c r="D21" s="210">
        <f>(D9/D5)*365</f>
        <v>51.785237636242307</v>
      </c>
      <c r="E21" s="210">
        <f>(E9/E5)*365</f>
        <v>59.906683956534586</v>
      </c>
      <c r="F21" s="210">
        <f>(F9/F5)*365</f>
        <v>64.512785734537957</v>
      </c>
      <c r="G21" s="341">
        <f>G22</f>
        <v>63.512785734537957</v>
      </c>
      <c r="H21" s="341">
        <f>H22</f>
        <v>62.512785734537957</v>
      </c>
      <c r="I21" s="341">
        <f>I22</f>
        <v>61.512785734537957</v>
      </c>
      <c r="J21" s="341">
        <f>J22</f>
        <v>60.512785734537957</v>
      </c>
      <c r="K21" s="341">
        <f>K22</f>
        <v>59.512785734537957</v>
      </c>
    </row>
    <row r="22" spans="1:17" ht="15.6" customHeight="1" x14ac:dyDescent="0.3">
      <c r="A22" s="6" t="s">
        <v>354</v>
      </c>
      <c r="B22" s="512"/>
      <c r="C22" s="512"/>
      <c r="D22" s="512"/>
      <c r="E22" s="512"/>
      <c r="F22" s="512"/>
      <c r="G22" s="512">
        <f>F21-1</f>
        <v>63.512785734537957</v>
      </c>
      <c r="H22" s="512">
        <f>G22-1</f>
        <v>62.512785734537957</v>
      </c>
      <c r="I22" s="512">
        <f>H22-1</f>
        <v>61.512785734537957</v>
      </c>
      <c r="J22" s="512">
        <f>I22-1</f>
        <v>60.512785734537957</v>
      </c>
      <c r="K22" s="512">
        <f>J22-1</f>
        <v>59.512785734537957</v>
      </c>
    </row>
    <row r="23" spans="1:17" ht="15.6" customHeight="1" x14ac:dyDescent="0.3">
      <c r="A23" s="4" t="s">
        <v>355</v>
      </c>
      <c r="B23" s="210"/>
      <c r="C23" s="210"/>
      <c r="D23" s="210"/>
      <c r="E23" s="210"/>
      <c r="F23" s="210"/>
      <c r="G23" s="509">
        <v>62</v>
      </c>
      <c r="H23" s="509">
        <v>60</v>
      </c>
      <c r="I23" s="509">
        <v>58</v>
      </c>
      <c r="J23" s="509">
        <v>56</v>
      </c>
      <c r="K23" s="509">
        <v>54</v>
      </c>
      <c r="N23" s="16"/>
    </row>
    <row r="24" spans="1:17" ht="15.6" customHeight="1" x14ac:dyDescent="0.3">
      <c r="A24" s="4" t="s">
        <v>356</v>
      </c>
      <c r="B24" s="210"/>
      <c r="C24" s="210"/>
      <c r="D24" s="210"/>
      <c r="E24" s="210"/>
      <c r="F24" s="210"/>
      <c r="G24" s="509">
        <v>72</v>
      </c>
      <c r="H24" s="509">
        <v>74</v>
      </c>
      <c r="I24" s="509">
        <v>76</v>
      </c>
      <c r="J24" s="509">
        <v>78</v>
      </c>
      <c r="K24" s="509">
        <v>80</v>
      </c>
    </row>
    <row r="25" spans="1:17" ht="15.6" customHeight="1" x14ac:dyDescent="0.3">
      <c r="A25" s="5" t="s">
        <v>610</v>
      </c>
      <c r="B25" s="210">
        <f>(B10/B6)*365</f>
        <v>106.14588310240484</v>
      </c>
      <c r="C25" s="210">
        <f>(C10/C6)*365</f>
        <v>100.73365822650703</v>
      </c>
      <c r="D25" s="210">
        <f>(D10/D6)*365</f>
        <v>162.079101394388</v>
      </c>
      <c r="E25" s="210">
        <f>(E10/E6)*365</f>
        <v>115.99362252572048</v>
      </c>
      <c r="F25" s="210">
        <f>(F10/F6)*365</f>
        <v>112.72404179049603</v>
      </c>
      <c r="G25" s="509">
        <v>110</v>
      </c>
      <c r="H25" s="509">
        <v>105</v>
      </c>
      <c r="I25" s="509">
        <v>100</v>
      </c>
      <c r="J25" s="509">
        <v>95</v>
      </c>
      <c r="K25" s="509">
        <v>90</v>
      </c>
    </row>
    <row r="26" spans="1:17" ht="15.6" customHeight="1" x14ac:dyDescent="0.3">
      <c r="A26" s="6" t="s">
        <v>354</v>
      </c>
      <c r="B26" s="512"/>
      <c r="C26" s="512"/>
      <c r="D26" s="512"/>
      <c r="E26" s="512"/>
      <c r="F26" s="512"/>
      <c r="G26" s="512">
        <v>110</v>
      </c>
      <c r="H26" s="512">
        <v>105</v>
      </c>
      <c r="I26" s="512">
        <v>100</v>
      </c>
      <c r="J26" s="512">
        <v>95</v>
      </c>
      <c r="K26" s="512">
        <v>90</v>
      </c>
    </row>
    <row r="27" spans="1:17" ht="15.6" customHeight="1" x14ac:dyDescent="0.3">
      <c r="A27" s="4" t="s">
        <v>355</v>
      </c>
      <c r="B27" s="210"/>
      <c r="C27" s="210"/>
      <c r="D27" s="210"/>
      <c r="E27" s="210"/>
      <c r="F27" s="210"/>
      <c r="G27" s="509">
        <v>95</v>
      </c>
      <c r="H27" s="509">
        <v>85</v>
      </c>
      <c r="I27" s="509">
        <v>75</v>
      </c>
      <c r="J27" s="509">
        <v>71</v>
      </c>
      <c r="K27" s="509">
        <v>65</v>
      </c>
    </row>
    <row r="28" spans="1:17" ht="15.6" customHeight="1" x14ac:dyDescent="0.3">
      <c r="A28" s="4" t="s">
        <v>356</v>
      </c>
      <c r="B28" s="210"/>
      <c r="C28" s="210"/>
      <c r="D28" s="210"/>
      <c r="E28" s="210"/>
      <c r="F28" s="210"/>
      <c r="G28" s="509">
        <v>160</v>
      </c>
      <c r="H28" s="509">
        <v>150</v>
      </c>
      <c r="I28" s="509">
        <v>140</v>
      </c>
      <c r="J28" s="509">
        <v>120</v>
      </c>
      <c r="K28" s="509">
        <v>110</v>
      </c>
    </row>
    <row r="29" spans="1:17" ht="15.6" customHeight="1" x14ac:dyDescent="0.3">
      <c r="A29" s="5" t="s">
        <v>611</v>
      </c>
      <c r="B29" s="210">
        <f>(B14/B6)*365</f>
        <v>66.791686574295269</v>
      </c>
      <c r="C29" s="210">
        <f>(C14/C6)*365</f>
        <v>68.947452060599645</v>
      </c>
      <c r="D29" s="210">
        <f>(D14/D6)*365</f>
        <v>37.480203133069374</v>
      </c>
      <c r="E29" s="210">
        <f>(E14/E6)*365</f>
        <v>59.270501173214605</v>
      </c>
      <c r="F29" s="210">
        <f>(F14/F6)*365</f>
        <v>70.564355525598216</v>
      </c>
      <c r="G29" s="509">
        <f>G30</f>
        <v>69.564355525598216</v>
      </c>
      <c r="H29" s="509">
        <f>H30</f>
        <v>68.564355525598216</v>
      </c>
      <c r="I29" s="509">
        <f>I30</f>
        <v>67.564355525598216</v>
      </c>
      <c r="J29" s="509">
        <f>J30</f>
        <v>66.564355525598216</v>
      </c>
      <c r="K29" s="509">
        <f>K30</f>
        <v>65.564355525598216</v>
      </c>
    </row>
    <row r="30" spans="1:17" ht="15.6" customHeight="1" x14ac:dyDescent="0.3">
      <c r="A30" s="6" t="s">
        <v>354</v>
      </c>
      <c r="B30" s="512"/>
      <c r="C30" s="512"/>
      <c r="D30" s="512"/>
      <c r="E30" s="512"/>
      <c r="F30" s="512"/>
      <c r="G30" s="512">
        <f>F29-1</f>
        <v>69.564355525598216</v>
      </c>
      <c r="H30" s="512">
        <f>G30-1</f>
        <v>68.564355525598216</v>
      </c>
      <c r="I30" s="512">
        <f>H30-1</f>
        <v>67.564355525598216</v>
      </c>
      <c r="J30" s="512">
        <f>I30-1</f>
        <v>66.564355525598216</v>
      </c>
      <c r="K30" s="512">
        <f>J30-1</f>
        <v>65.564355525598216</v>
      </c>
    </row>
    <row r="31" spans="1:17" ht="15.6" customHeight="1" x14ac:dyDescent="0.3">
      <c r="A31" s="4" t="s">
        <v>355</v>
      </c>
      <c r="B31" s="210"/>
      <c r="C31" s="210"/>
      <c r="D31" s="210"/>
      <c r="E31" s="210"/>
      <c r="F31" s="210"/>
      <c r="G31" s="509">
        <v>72</v>
      </c>
      <c r="H31" s="509">
        <v>74</v>
      </c>
      <c r="I31" s="509">
        <v>76</v>
      </c>
      <c r="J31" s="509">
        <v>78</v>
      </c>
      <c r="K31" s="509">
        <v>80</v>
      </c>
    </row>
    <row r="32" spans="1:17" ht="15.6" customHeight="1" x14ac:dyDescent="0.3">
      <c r="A32" s="4" t="s">
        <v>356</v>
      </c>
      <c r="B32" s="210"/>
      <c r="C32" s="210"/>
      <c r="D32" s="210"/>
      <c r="E32" s="210"/>
      <c r="F32" s="210"/>
      <c r="G32" s="509">
        <v>60</v>
      </c>
      <c r="H32" s="509">
        <v>55</v>
      </c>
      <c r="I32" s="509">
        <v>50</v>
      </c>
      <c r="J32" s="509">
        <v>48</v>
      </c>
      <c r="K32" s="509">
        <v>46</v>
      </c>
    </row>
    <row r="33" spans="1:11" ht="15.6" customHeight="1" x14ac:dyDescent="0.3">
      <c r="A33" s="4"/>
      <c r="B33" s="210"/>
      <c r="C33" s="210"/>
      <c r="D33" s="210"/>
      <c r="E33" s="210"/>
      <c r="F33" s="210"/>
      <c r="G33" s="509"/>
      <c r="H33" s="509"/>
      <c r="I33" s="509"/>
      <c r="J33" s="509"/>
      <c r="K33" s="509"/>
    </row>
    <row r="34" spans="1:11" ht="15.6" customHeight="1" x14ac:dyDescent="0.3">
      <c r="A34" s="3" t="s">
        <v>612</v>
      </c>
      <c r="B34" s="549">
        <f t="shared" ref="B34:K34" si="4">(B21+B25)-B29</f>
        <v>92.5227122702385</v>
      </c>
      <c r="C34" s="549">
        <f t="shared" si="4"/>
        <v>94.848181346110991</v>
      </c>
      <c r="D34" s="549">
        <f t="shared" si="4"/>
        <v>176.38413589756092</v>
      </c>
      <c r="E34" s="549">
        <f t="shared" si="4"/>
        <v>116.62980530904048</v>
      </c>
      <c r="F34" s="549">
        <f t="shared" si="4"/>
        <v>106.67247199943577</v>
      </c>
      <c r="G34" s="549">
        <f t="shared" si="4"/>
        <v>103.94843020893973</v>
      </c>
      <c r="H34" s="549">
        <f t="shared" si="4"/>
        <v>98.948430208939726</v>
      </c>
      <c r="I34" s="549">
        <f t="shared" si="4"/>
        <v>93.948430208939726</v>
      </c>
      <c r="J34" s="549">
        <f t="shared" si="4"/>
        <v>88.948430208939726</v>
      </c>
      <c r="K34" s="549">
        <f t="shared" si="4"/>
        <v>83.948430208939726</v>
      </c>
    </row>
    <row r="35" spans="1:11" ht="15.6" customHeight="1" x14ac:dyDescent="0.3">
      <c r="A35" s="4"/>
      <c r="B35" s="210"/>
      <c r="C35" s="210"/>
      <c r="D35" s="210"/>
      <c r="E35" s="210"/>
      <c r="F35" s="210"/>
      <c r="G35" s="509"/>
      <c r="H35" s="509"/>
      <c r="I35" s="509"/>
      <c r="J35" s="509"/>
      <c r="K35" s="509"/>
    </row>
    <row r="36" spans="1:11" ht="15.6" customHeight="1" x14ac:dyDescent="0.3">
      <c r="A36" s="5" t="s">
        <v>613</v>
      </c>
      <c r="B36" s="513">
        <f>B11/B7</f>
        <v>4.0757162346521145E-2</v>
      </c>
      <c r="C36" s="513">
        <f>C11/C7</f>
        <v>4.9233252623083132E-2</v>
      </c>
      <c r="D36" s="513">
        <f>D11/D7</f>
        <v>7.1056413941789437E-2</v>
      </c>
      <c r="E36" s="513">
        <f>E11/E7</f>
        <v>0.27186865566245916</v>
      </c>
      <c r="F36" s="513">
        <f>F11/F7</f>
        <v>0.22986894239561109</v>
      </c>
      <c r="G36" s="513">
        <f>F36-3%</f>
        <v>0.19986894239561109</v>
      </c>
      <c r="H36" s="513">
        <f>G36-3%</f>
        <v>0.16986894239561109</v>
      </c>
      <c r="I36" s="513">
        <f>H36-3%</f>
        <v>0.1398689423956111</v>
      </c>
      <c r="J36" s="513">
        <v>0.12</v>
      </c>
      <c r="K36" s="513">
        <v>0.1</v>
      </c>
    </row>
    <row r="37" spans="1:11" ht="15.6" customHeight="1" x14ac:dyDescent="0.3">
      <c r="A37" s="5" t="s">
        <v>614</v>
      </c>
      <c r="B37" s="513">
        <f>B15/(B6+B7)</f>
        <v>0.22860907518735074</v>
      </c>
      <c r="C37" s="513">
        <f>C15/(C6+C7)</f>
        <v>0.15124755526580927</v>
      </c>
      <c r="D37" s="513">
        <f>D15/(D6+D7)</f>
        <v>0.23604395604395603</v>
      </c>
      <c r="E37" s="513">
        <f>E15/(E6+E7)</f>
        <v>0.28379248658318423</v>
      </c>
      <c r="F37" s="513">
        <f>F15/(F6+F7)</f>
        <v>0.23931571649946987</v>
      </c>
      <c r="G37" s="514">
        <f>F37</f>
        <v>0.23931571649946987</v>
      </c>
      <c r="H37" s="514">
        <f>G37</f>
        <v>0.23931571649946987</v>
      </c>
      <c r="I37" s="514">
        <f>H37</f>
        <v>0.23931571649946987</v>
      </c>
      <c r="J37" s="514">
        <f>I37</f>
        <v>0.23931571649946987</v>
      </c>
      <c r="K37" s="514">
        <f>J37</f>
        <v>0.23931571649946987</v>
      </c>
    </row>
  </sheetData>
  <mergeCells count="2">
    <mergeCell ref="A1:K1"/>
    <mergeCell ref="A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Q29"/>
  <sheetViews>
    <sheetView workbookViewId="0">
      <selection activeCell="I23" sqref="I23"/>
    </sheetView>
  </sheetViews>
  <sheetFormatPr defaultRowHeight="14.4" x14ac:dyDescent="0.3"/>
  <cols>
    <col min="2" max="2" width="15.21875" customWidth="1"/>
    <col min="3" max="3" width="9.5546875" bestFit="1" customWidth="1"/>
    <col min="4" max="4" width="8.44140625" customWidth="1"/>
    <col min="5" max="5" width="8.5546875" customWidth="1"/>
    <col min="6" max="6" width="9.109375" customWidth="1"/>
    <col min="7" max="7" width="8.5546875" customWidth="1"/>
    <col min="8" max="8" width="7.6640625" customWidth="1"/>
    <col min="9" max="9" width="9.6640625" customWidth="1"/>
    <col min="10" max="10" width="8" customWidth="1"/>
    <col min="11" max="11" width="9.5546875" customWidth="1"/>
    <col min="12" max="12" width="8" customWidth="1"/>
    <col min="13" max="13" width="9.21875" customWidth="1"/>
    <col min="14" max="14" width="8.6640625" bestFit="1" customWidth="1"/>
  </cols>
  <sheetData>
    <row r="1" spans="2:17" x14ac:dyDescent="0.3">
      <c r="B1" s="126"/>
      <c r="C1" s="7">
        <v>2014</v>
      </c>
      <c r="D1" s="7">
        <v>2015</v>
      </c>
      <c r="E1" s="7">
        <v>2016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  <c r="K1" s="7">
        <v>2022</v>
      </c>
      <c r="L1" s="7">
        <v>2023</v>
      </c>
      <c r="M1" s="7">
        <v>2024</v>
      </c>
      <c r="N1" s="7">
        <v>2025</v>
      </c>
    </row>
    <row r="2" spans="2:17" x14ac:dyDescent="0.3">
      <c r="B2" s="7" t="s">
        <v>151</v>
      </c>
      <c r="C2" s="127">
        <v>4130</v>
      </c>
      <c r="D2" s="127">
        <v>4682</v>
      </c>
      <c r="E2" s="127">
        <v>5010</v>
      </c>
      <c r="F2" s="127">
        <v>6910</v>
      </c>
      <c r="G2" s="127">
        <v>9714</v>
      </c>
      <c r="H2" s="127">
        <v>11716</v>
      </c>
      <c r="I2" s="127">
        <v>10918</v>
      </c>
      <c r="J2" s="127">
        <v>16675</v>
      </c>
      <c r="K2" s="127">
        <v>26914</v>
      </c>
      <c r="L2" s="127">
        <v>26974</v>
      </c>
      <c r="M2" s="127">
        <v>60922</v>
      </c>
      <c r="N2" s="127">
        <v>130497</v>
      </c>
    </row>
    <row r="3" spans="2:17" x14ac:dyDescent="0.3">
      <c r="B3" s="128" t="s">
        <v>615</v>
      </c>
      <c r="C3" s="129">
        <v>0</v>
      </c>
      <c r="D3" s="130">
        <f t="shared" ref="D3:N3" si="0">(D2/C2)-1</f>
        <v>0.13365617433414045</v>
      </c>
      <c r="E3" s="130">
        <f t="shared" si="0"/>
        <v>7.0055531824006811E-2</v>
      </c>
      <c r="F3" s="130">
        <f t="shared" si="0"/>
        <v>0.37924151696606789</v>
      </c>
      <c r="G3" s="130">
        <f t="shared" si="0"/>
        <v>0.40578871201157751</v>
      </c>
      <c r="H3" s="130">
        <f t="shared" si="0"/>
        <v>0.20609429689108505</v>
      </c>
      <c r="I3" s="130">
        <f t="shared" si="0"/>
        <v>-6.8111983612154314E-2</v>
      </c>
      <c r="J3" s="130">
        <f t="shared" si="0"/>
        <v>0.52729437625938824</v>
      </c>
      <c r="K3" s="130">
        <f t="shared" si="0"/>
        <v>0.61403298350824587</v>
      </c>
      <c r="L3" s="130">
        <f t="shared" si="0"/>
        <v>2.2293230289069932E-3</v>
      </c>
      <c r="M3" s="130">
        <f t="shared" si="0"/>
        <v>1.2585452658115224</v>
      </c>
      <c r="N3" s="131">
        <f t="shared" si="0"/>
        <v>1.1420340763599355</v>
      </c>
    </row>
    <row r="4" spans="2:17" x14ac:dyDescent="0.3">
      <c r="B4" s="7" t="s">
        <v>153</v>
      </c>
      <c r="C4" s="127">
        <v>2268</v>
      </c>
      <c r="D4" s="127">
        <v>2599</v>
      </c>
      <c r="E4" s="127">
        <v>2811</v>
      </c>
      <c r="F4" s="127">
        <v>4063</v>
      </c>
      <c r="G4" s="127">
        <v>5822</v>
      </c>
      <c r="H4" s="127">
        <v>7171</v>
      </c>
      <c r="I4" s="127">
        <v>6768</v>
      </c>
      <c r="J4" s="127">
        <v>10396</v>
      </c>
      <c r="K4" s="127">
        <v>17475</v>
      </c>
      <c r="L4" s="127">
        <v>15356</v>
      </c>
      <c r="M4" s="127">
        <v>44301</v>
      </c>
      <c r="N4" s="127">
        <v>97858</v>
      </c>
    </row>
    <row r="5" spans="2:17" x14ac:dyDescent="0.3">
      <c r="B5" s="128" t="s">
        <v>615</v>
      </c>
      <c r="C5" s="129">
        <v>0</v>
      </c>
      <c r="D5" s="130">
        <f t="shared" ref="D5:N5" si="1">(D4/C4)-1</f>
        <v>0.14594356261022923</v>
      </c>
      <c r="E5" s="130">
        <f t="shared" si="1"/>
        <v>8.1569834551750597E-2</v>
      </c>
      <c r="F5" s="130">
        <f t="shared" si="1"/>
        <v>0.44539309854144427</v>
      </c>
      <c r="G5" s="130">
        <f t="shared" si="1"/>
        <v>0.43293133152842733</v>
      </c>
      <c r="H5" s="130">
        <f t="shared" si="1"/>
        <v>0.23170731707317072</v>
      </c>
      <c r="I5" s="130">
        <f t="shared" si="1"/>
        <v>-5.6198577604239297E-2</v>
      </c>
      <c r="J5" s="130">
        <f t="shared" si="1"/>
        <v>0.53605200945626486</v>
      </c>
      <c r="K5" s="130">
        <f t="shared" si="1"/>
        <v>0.68093497499038103</v>
      </c>
      <c r="L5" s="130">
        <f t="shared" si="1"/>
        <v>-0.12125894134477821</v>
      </c>
      <c r="M5" s="130">
        <f t="shared" si="1"/>
        <v>1.8849309716071896</v>
      </c>
      <c r="N5" s="130">
        <f t="shared" si="1"/>
        <v>1.208934335568046</v>
      </c>
    </row>
    <row r="6" spans="2:17" x14ac:dyDescent="0.3">
      <c r="B6" s="7" t="s">
        <v>616</v>
      </c>
      <c r="C6" s="127">
        <v>1336</v>
      </c>
      <c r="D6" s="127">
        <v>1360</v>
      </c>
      <c r="E6" s="127">
        <v>1331</v>
      </c>
      <c r="F6" s="127">
        <v>1463</v>
      </c>
      <c r="G6" s="127">
        <v>1797</v>
      </c>
      <c r="H6" s="127">
        <v>23.76</v>
      </c>
      <c r="I6" s="127">
        <v>2829</v>
      </c>
      <c r="J6" s="127">
        <v>3924</v>
      </c>
      <c r="K6" s="127">
        <v>5268</v>
      </c>
      <c r="L6" s="127">
        <v>7339</v>
      </c>
      <c r="M6" s="127">
        <v>8675</v>
      </c>
      <c r="N6" s="127">
        <v>12914</v>
      </c>
    </row>
    <row r="7" spans="2:17" x14ac:dyDescent="0.3">
      <c r="B7" s="128" t="s">
        <v>615</v>
      </c>
      <c r="C7" s="129">
        <v>0</v>
      </c>
      <c r="D7" s="130">
        <f t="shared" ref="D7:N7" si="2">(D6/C6)-1</f>
        <v>1.7964071856287456E-2</v>
      </c>
      <c r="E7" s="130">
        <f t="shared" si="2"/>
        <v>-2.1323529411764741E-2</v>
      </c>
      <c r="F7" s="130">
        <f t="shared" si="2"/>
        <v>9.9173553719008156E-2</v>
      </c>
      <c r="G7" s="130">
        <f t="shared" si="2"/>
        <v>0.228298017771702</v>
      </c>
      <c r="H7" s="130">
        <f t="shared" si="2"/>
        <v>-0.9867779632721202</v>
      </c>
      <c r="I7" s="130">
        <f t="shared" si="2"/>
        <v>118.06565656565655</v>
      </c>
      <c r="J7" s="130">
        <f t="shared" si="2"/>
        <v>0.38706256627783664</v>
      </c>
      <c r="K7" s="130">
        <f t="shared" si="2"/>
        <v>0.34250764525993893</v>
      </c>
      <c r="L7" s="130">
        <f t="shared" si="2"/>
        <v>0.39312832194381175</v>
      </c>
      <c r="M7" s="130">
        <f t="shared" si="2"/>
        <v>0.18204115002043886</v>
      </c>
      <c r="N7" s="131">
        <f t="shared" si="2"/>
        <v>0.48864553314121029</v>
      </c>
    </row>
    <row r="8" spans="2:17" x14ac:dyDescent="0.3">
      <c r="B8" s="7" t="s">
        <v>617</v>
      </c>
      <c r="C8" s="127">
        <v>-255</v>
      </c>
      <c r="D8" s="127">
        <v>-122</v>
      </c>
      <c r="E8" s="127">
        <v>-86</v>
      </c>
      <c r="F8" s="127">
        <v>-176</v>
      </c>
      <c r="G8" s="127">
        <v>-593</v>
      </c>
      <c r="H8" s="127">
        <v>-600</v>
      </c>
      <c r="I8" s="127">
        <v>-489</v>
      </c>
      <c r="J8" s="127">
        <v>-1128</v>
      </c>
      <c r="K8" s="127">
        <v>-976</v>
      </c>
      <c r="L8" s="127">
        <v>-1833</v>
      </c>
      <c r="M8" s="127">
        <v>-1069</v>
      </c>
      <c r="N8" s="127">
        <v>-3236</v>
      </c>
    </row>
    <row r="9" spans="2:17" x14ac:dyDescent="0.3">
      <c r="B9" s="128" t="s">
        <v>615</v>
      </c>
      <c r="C9" s="129">
        <v>0</v>
      </c>
      <c r="D9" s="130">
        <f t="shared" ref="D9:N9" si="3">(D8/C8)-1</f>
        <v>-0.52156862745098032</v>
      </c>
      <c r="E9" s="130">
        <f t="shared" si="3"/>
        <v>-0.29508196721311475</v>
      </c>
      <c r="F9" s="130">
        <f t="shared" si="3"/>
        <v>1.0465116279069768</v>
      </c>
      <c r="G9" s="130">
        <f t="shared" si="3"/>
        <v>2.3693181818181817</v>
      </c>
      <c r="H9" s="130">
        <f t="shared" si="3"/>
        <v>1.180438448566612E-2</v>
      </c>
      <c r="I9" s="130">
        <f t="shared" si="3"/>
        <v>-0.18500000000000005</v>
      </c>
      <c r="J9" s="130">
        <f t="shared" si="3"/>
        <v>1.3067484662576687</v>
      </c>
      <c r="K9" s="130">
        <f t="shared" si="3"/>
        <v>-0.13475177304964536</v>
      </c>
      <c r="L9" s="130">
        <f t="shared" si="3"/>
        <v>0.87807377049180335</v>
      </c>
      <c r="M9" s="130">
        <f t="shared" si="3"/>
        <v>-0.41680305510092741</v>
      </c>
      <c r="N9" s="131">
        <f t="shared" si="3"/>
        <v>2.0271281571562207</v>
      </c>
    </row>
    <row r="12" spans="2:17" ht="15.6" customHeight="1" x14ac:dyDescent="0.3">
      <c r="B12" s="29"/>
      <c r="C12" s="30">
        <v>2025</v>
      </c>
      <c r="D12" s="30">
        <v>2024</v>
      </c>
      <c r="E12" s="30">
        <v>2023</v>
      </c>
      <c r="N12" s="125"/>
    </row>
    <row r="13" spans="2:17" x14ac:dyDescent="0.3">
      <c r="B13" s="27" t="s">
        <v>171</v>
      </c>
      <c r="C13" s="115">
        <v>115186</v>
      </c>
      <c r="D13" s="115">
        <v>47525</v>
      </c>
      <c r="E13" s="115">
        <v>15005</v>
      </c>
    </row>
    <row r="14" spans="2:17" x14ac:dyDescent="0.3">
      <c r="B14" s="28" t="s">
        <v>172</v>
      </c>
      <c r="C14" s="116">
        <v>102196</v>
      </c>
      <c r="D14" s="116">
        <v>38950</v>
      </c>
      <c r="E14" s="116">
        <v>11317</v>
      </c>
      <c r="K14" s="122"/>
    </row>
    <row r="15" spans="2:17" x14ac:dyDescent="0.3">
      <c r="B15" s="27" t="s">
        <v>173</v>
      </c>
      <c r="C15" s="115">
        <v>12990</v>
      </c>
      <c r="D15" s="115">
        <v>8575</v>
      </c>
      <c r="E15" s="115">
        <v>3688</v>
      </c>
      <c r="Q15" s="16"/>
    </row>
    <row r="16" spans="2:17" x14ac:dyDescent="0.3">
      <c r="B16" s="28" t="s">
        <v>174</v>
      </c>
      <c r="C16" s="116">
        <v>11350</v>
      </c>
      <c r="D16" s="116">
        <v>10447</v>
      </c>
      <c r="E16" s="116">
        <v>9067</v>
      </c>
    </row>
    <row r="17" spans="2:5" x14ac:dyDescent="0.3">
      <c r="B17" s="27" t="s">
        <v>175</v>
      </c>
      <c r="C17" s="115">
        <v>1878</v>
      </c>
      <c r="D17" s="115">
        <v>1553</v>
      </c>
      <c r="E17" s="115">
        <v>1544</v>
      </c>
    </row>
    <row r="18" spans="2:5" x14ac:dyDescent="0.3">
      <c r="B18" s="28" t="s">
        <v>176</v>
      </c>
      <c r="C18" s="116">
        <v>1694</v>
      </c>
      <c r="D18" s="116">
        <v>1091</v>
      </c>
      <c r="E18" s="116">
        <v>903</v>
      </c>
    </row>
    <row r="19" spans="2:5" x14ac:dyDescent="0.3">
      <c r="B19" s="27" t="s">
        <v>177</v>
      </c>
      <c r="C19" s="115">
        <v>389</v>
      </c>
      <c r="D19" s="115">
        <v>306</v>
      </c>
      <c r="E19" s="115">
        <v>455</v>
      </c>
    </row>
    <row r="20" spans="2:5" ht="15.6" customHeight="1" x14ac:dyDescent="0.3">
      <c r="B20" s="31" t="s">
        <v>178</v>
      </c>
      <c r="C20" s="117">
        <v>130497</v>
      </c>
      <c r="D20" s="117">
        <v>60922</v>
      </c>
      <c r="E20" s="117">
        <v>26974</v>
      </c>
    </row>
    <row r="23" spans="2:5" ht="15.6" customHeight="1" x14ac:dyDescent="0.3">
      <c r="B23" s="29"/>
      <c r="C23" s="30">
        <v>2025</v>
      </c>
      <c r="D23" s="30">
        <v>2024</v>
      </c>
      <c r="E23" s="30">
        <v>2023</v>
      </c>
    </row>
    <row r="24" spans="2:5" x14ac:dyDescent="0.3">
      <c r="B24" s="27" t="s">
        <v>179</v>
      </c>
      <c r="C24" s="115">
        <v>61257</v>
      </c>
      <c r="D24" s="115">
        <v>26966</v>
      </c>
      <c r="E24" s="115">
        <v>8292</v>
      </c>
    </row>
    <row r="25" spans="2:5" x14ac:dyDescent="0.3">
      <c r="B25" s="28" t="s">
        <v>180</v>
      </c>
      <c r="C25" s="116">
        <v>23684</v>
      </c>
      <c r="D25" s="116">
        <v>6831</v>
      </c>
      <c r="E25" s="116">
        <v>2288</v>
      </c>
    </row>
    <row r="26" spans="2:5" x14ac:dyDescent="0.3">
      <c r="B26" s="27" t="s">
        <v>181</v>
      </c>
      <c r="C26" s="115">
        <v>20573</v>
      </c>
      <c r="D26" s="115">
        <v>13405</v>
      </c>
      <c r="E26" s="115">
        <v>6986</v>
      </c>
    </row>
    <row r="27" spans="2:5" x14ac:dyDescent="0.3">
      <c r="B27" s="28" t="s">
        <v>182</v>
      </c>
      <c r="C27" s="116">
        <v>17108</v>
      </c>
      <c r="D27" s="116">
        <v>10306</v>
      </c>
      <c r="E27" s="116">
        <v>5785</v>
      </c>
    </row>
    <row r="28" spans="2:5" x14ac:dyDescent="0.3">
      <c r="B28" s="27" t="s">
        <v>183</v>
      </c>
      <c r="C28" s="115">
        <v>7875</v>
      </c>
      <c r="D28" s="115">
        <v>3414</v>
      </c>
      <c r="E28" s="115">
        <v>3623</v>
      </c>
    </row>
    <row r="29" spans="2:5" ht="15.6" customHeight="1" x14ac:dyDescent="0.3">
      <c r="B29" s="31" t="s">
        <v>178</v>
      </c>
      <c r="C29" s="117">
        <v>130497</v>
      </c>
      <c r="D29" s="117">
        <v>60922</v>
      </c>
      <c r="E29" s="117">
        <v>26974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7"/>
  <sheetViews>
    <sheetView showGridLines="0" zoomScale="70" zoomScaleNormal="70" workbookViewId="0">
      <selection activeCell="B3" sqref="B3"/>
    </sheetView>
  </sheetViews>
  <sheetFormatPr defaultRowHeight="14.4" x14ac:dyDescent="0.3"/>
  <cols>
    <col min="1" max="1" width="22.33203125" bestFit="1" customWidth="1"/>
    <col min="2" max="2" width="11.44140625" bestFit="1" customWidth="1"/>
    <col min="3" max="3" width="10.33203125" bestFit="1" customWidth="1"/>
    <col min="4" max="4" width="9.21875" bestFit="1" customWidth="1"/>
    <col min="5" max="9" width="10.33203125" bestFit="1" customWidth="1"/>
    <col min="10" max="10" width="8.6640625" bestFit="1" customWidth="1"/>
    <col min="11" max="12" width="11.44140625" bestFit="1" customWidth="1"/>
  </cols>
  <sheetData>
    <row r="1" spans="1:19" ht="21" customHeight="1" x14ac:dyDescent="0.4">
      <c r="A1" s="543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</row>
    <row r="3" spans="1:19" x14ac:dyDescent="0.3">
      <c r="A3" s="1" t="s">
        <v>1</v>
      </c>
      <c r="B3" s="1">
        <v>5</v>
      </c>
      <c r="M3" s="1" t="s">
        <v>2</v>
      </c>
      <c r="N3" s="1"/>
      <c r="O3" s="1"/>
      <c r="P3" s="1"/>
      <c r="Q3" s="1"/>
      <c r="R3" s="1"/>
      <c r="S3" s="1"/>
    </row>
    <row r="4" spans="1:19" x14ac:dyDescent="0.3">
      <c r="M4" s="1" t="s">
        <v>3</v>
      </c>
      <c r="N4" s="1">
        <v>2</v>
      </c>
      <c r="O4" s="1">
        <v>3</v>
      </c>
      <c r="P4" s="1">
        <v>4</v>
      </c>
      <c r="Q4" s="1">
        <v>5</v>
      </c>
      <c r="R4" s="1">
        <v>6</v>
      </c>
      <c r="S4" s="1">
        <v>7</v>
      </c>
    </row>
    <row r="5" spans="1:19" ht="15.6" customHeight="1" x14ac:dyDescent="0.3">
      <c r="A5" s="1" t="s">
        <v>4</v>
      </c>
      <c r="B5" s="699" t="s">
        <v>5</v>
      </c>
      <c r="C5" s="700"/>
      <c r="D5" s="700"/>
      <c r="E5" s="700"/>
      <c r="F5" s="700"/>
    </row>
    <row r="6" spans="1:19" ht="15.6" customHeight="1" x14ac:dyDescent="0.3">
      <c r="B6" s="202" t="s">
        <v>6</v>
      </c>
      <c r="C6" s="202" t="s">
        <v>7</v>
      </c>
      <c r="D6" s="202" t="s">
        <v>8</v>
      </c>
      <c r="E6" s="202" t="s">
        <v>9</v>
      </c>
      <c r="F6" s="202" t="s">
        <v>10</v>
      </c>
    </row>
    <row r="7" spans="1:19" x14ac:dyDescent="0.3">
      <c r="A7" s="1" t="s">
        <v>11</v>
      </c>
    </row>
    <row r="8" spans="1:19" x14ac:dyDescent="0.3">
      <c r="A8" s="1">
        <v>2022</v>
      </c>
      <c r="B8" s="33">
        <f>D26/$B$3</f>
        <v>195.2</v>
      </c>
      <c r="C8" s="33">
        <f>B8</f>
        <v>195.2</v>
      </c>
      <c r="D8" s="33"/>
      <c r="E8" s="33"/>
      <c r="F8" s="33"/>
    </row>
    <row r="9" spans="1:19" x14ac:dyDescent="0.3">
      <c r="A9" s="1">
        <v>2023</v>
      </c>
      <c r="B9" s="33">
        <f>E26/$B$3</f>
        <v>366.6</v>
      </c>
      <c r="C9" s="33">
        <f>B9</f>
        <v>366.6</v>
      </c>
      <c r="D9" s="33">
        <f>C9</f>
        <v>366.6</v>
      </c>
      <c r="E9" s="33"/>
      <c r="F9" s="33"/>
    </row>
    <row r="10" spans="1:19" x14ac:dyDescent="0.3">
      <c r="A10" s="1">
        <v>2024</v>
      </c>
      <c r="B10" s="33">
        <f>F26/B3</f>
        <v>213.8</v>
      </c>
      <c r="C10" s="33">
        <f>B10</f>
        <v>213.8</v>
      </c>
      <c r="D10" s="33">
        <f>C10</f>
        <v>213.8</v>
      </c>
      <c r="E10" s="33">
        <f>D10</f>
        <v>213.8</v>
      </c>
      <c r="F10" s="33"/>
    </row>
    <row r="11" spans="1:19" x14ac:dyDescent="0.3">
      <c r="A11" s="1">
        <v>2025</v>
      </c>
      <c r="B11" s="33">
        <f>G26/B3</f>
        <v>647.20000000000005</v>
      </c>
      <c r="C11" s="33">
        <f>B11</f>
        <v>647.20000000000005</v>
      </c>
      <c r="D11" s="33">
        <f>C11</f>
        <v>647.20000000000005</v>
      </c>
      <c r="E11" s="33">
        <f>D11</f>
        <v>647.20000000000005</v>
      </c>
      <c r="F11" s="33"/>
    </row>
    <row r="12" spans="1:19" x14ac:dyDescent="0.3">
      <c r="A12" s="1">
        <v>2026</v>
      </c>
      <c r="B12" s="33">
        <f>H26/B3</f>
        <v>1269.3975599999999</v>
      </c>
      <c r="C12" s="33">
        <f>B12</f>
        <v>1269.3975599999999</v>
      </c>
      <c r="D12" s="33">
        <f>C12</f>
        <v>1269.3975599999999</v>
      </c>
      <c r="E12" s="33">
        <f>D12</f>
        <v>1269.3975599999999</v>
      </c>
      <c r="F12" s="33">
        <f>E12</f>
        <v>1269.3975599999999</v>
      </c>
    </row>
    <row r="13" spans="1:19" x14ac:dyDescent="0.3">
      <c r="A13" s="1">
        <v>2027</v>
      </c>
      <c r="B13" s="33"/>
      <c r="C13" s="33">
        <f>I26/B3</f>
        <v>1888.7762304</v>
      </c>
      <c r="D13" s="33">
        <f>C13</f>
        <v>1888.7762304</v>
      </c>
      <c r="E13" s="33">
        <f>D13</f>
        <v>1888.7762304</v>
      </c>
      <c r="F13" s="33">
        <f>E13</f>
        <v>1888.7762304</v>
      </c>
    </row>
    <row r="14" spans="1:19" x14ac:dyDescent="0.3">
      <c r="A14" s="1">
        <v>2028</v>
      </c>
      <c r="B14" s="33"/>
      <c r="C14" s="33"/>
      <c r="D14" s="33">
        <f>J26/B3</f>
        <v>2451.6310899168002</v>
      </c>
      <c r="E14" s="33">
        <f>D14</f>
        <v>2451.6310899168002</v>
      </c>
      <c r="F14" s="33">
        <f>E14</f>
        <v>2451.6310899168002</v>
      </c>
    </row>
    <row r="15" spans="1:19" x14ac:dyDescent="0.3">
      <c r="A15" s="1">
        <v>2029</v>
      </c>
      <c r="B15" s="33"/>
      <c r="C15" s="33"/>
      <c r="D15" s="33"/>
      <c r="E15" s="33">
        <f>K26/B3</f>
        <v>2575.8631243713598</v>
      </c>
      <c r="F15" s="33">
        <f>E15</f>
        <v>2575.8631243713598</v>
      </c>
    </row>
    <row r="16" spans="1:19" x14ac:dyDescent="0.3">
      <c r="A16" s="1">
        <v>2030</v>
      </c>
      <c r="B16" s="33"/>
      <c r="C16" s="33"/>
      <c r="D16" s="33"/>
      <c r="E16" s="33"/>
      <c r="F16" s="33">
        <f>L26/B3</f>
        <v>2921.3570100512043</v>
      </c>
    </row>
    <row r="17" spans="1:12" x14ac:dyDescent="0.3">
      <c r="A17" s="1" t="s">
        <v>12</v>
      </c>
      <c r="B17" s="33">
        <f>SUM(B8:B16)</f>
        <v>2692.1975599999996</v>
      </c>
      <c r="C17" s="33">
        <f>SUM(C8:C16)</f>
        <v>4580.9737903999994</v>
      </c>
      <c r="D17" s="33">
        <f>SUM(D8:D16)</f>
        <v>6837.4048803167998</v>
      </c>
      <c r="E17" s="33">
        <f>SUM(E8:E16)</f>
        <v>9046.6680046881593</v>
      </c>
      <c r="F17" s="33">
        <f>SUM(F8:F16)</f>
        <v>11107.025014739364</v>
      </c>
    </row>
    <row r="18" spans="1:12" x14ac:dyDescent="0.3">
      <c r="A18" s="1" t="s">
        <v>13</v>
      </c>
      <c r="B18" s="33">
        <v>354</v>
      </c>
      <c r="C18" s="33">
        <v>236</v>
      </c>
      <c r="D18" s="33">
        <v>84</v>
      </c>
      <c r="E18" s="33">
        <v>31</v>
      </c>
      <c r="F18" s="33">
        <v>10</v>
      </c>
    </row>
    <row r="19" spans="1:12" x14ac:dyDescent="0.3">
      <c r="A19" s="343" t="s">
        <v>14</v>
      </c>
      <c r="B19" s="550">
        <f>SUM(B17:B18)</f>
        <v>3046.1975599999996</v>
      </c>
      <c r="C19" s="550">
        <f>SUM(C17:C18)</f>
        <v>4816.9737903999994</v>
      </c>
      <c r="D19" s="550">
        <f>SUM(D17:D18)</f>
        <v>6921.4048803167998</v>
      </c>
      <c r="E19" s="550">
        <f>SUM(E17:E18)</f>
        <v>9077.6680046881593</v>
      </c>
      <c r="F19" s="550">
        <f>SUM(F17:F18)</f>
        <v>11117.025014739364</v>
      </c>
    </row>
    <row r="22" spans="1:12" s="195" customFormat="1" ht="15.6" customHeight="1" x14ac:dyDescent="0.3"/>
    <row r="23" spans="1:12" s="195" customFormat="1" ht="15.6" customHeight="1" x14ac:dyDescent="0.3"/>
    <row r="24" spans="1:12" ht="15.6" customHeight="1" x14ac:dyDescent="0.3">
      <c r="B24" s="699" t="s">
        <v>15</v>
      </c>
      <c r="C24" s="700"/>
      <c r="D24" s="700"/>
      <c r="E24" s="700"/>
      <c r="F24" s="700"/>
      <c r="G24" s="700"/>
      <c r="H24" s="699" t="s">
        <v>5</v>
      </c>
      <c r="I24" s="700"/>
      <c r="J24" s="700"/>
      <c r="K24" s="700"/>
      <c r="L24" s="700"/>
    </row>
    <row r="25" spans="1:12" ht="15.6" customHeight="1" x14ac:dyDescent="0.3">
      <c r="B25" s="202" t="s">
        <v>16</v>
      </c>
      <c r="C25" s="202" t="s">
        <v>17</v>
      </c>
      <c r="D25" s="202" t="s">
        <v>18</v>
      </c>
      <c r="E25" s="202" t="s">
        <v>19</v>
      </c>
      <c r="F25" s="202" t="s">
        <v>20</v>
      </c>
      <c r="G25" s="202" t="s">
        <v>21</v>
      </c>
      <c r="H25" s="202" t="s">
        <v>22</v>
      </c>
      <c r="I25" s="202" t="s">
        <v>23</v>
      </c>
      <c r="J25" s="202" t="s">
        <v>24</v>
      </c>
      <c r="K25" s="202" t="s">
        <v>25</v>
      </c>
      <c r="L25" s="202" t="s">
        <v>26</v>
      </c>
    </row>
    <row r="26" spans="1:12" ht="15.6" customHeight="1" x14ac:dyDescent="0.3">
      <c r="A26" s="198" t="str">
        <f>'12_FixedAssets'!A6</f>
        <v xml:space="preserve"> CaPex </v>
      </c>
      <c r="B26" s="228">
        <f>'12_FixedAssets'!C6</f>
        <v>489</v>
      </c>
      <c r="C26" s="228">
        <f>'12_FixedAssets'!D6</f>
        <v>1128</v>
      </c>
      <c r="D26" s="228">
        <f>'12_FixedAssets'!E6</f>
        <v>976</v>
      </c>
      <c r="E26" s="228">
        <f>'12_FixedAssets'!F6</f>
        <v>1833</v>
      </c>
      <c r="F26" s="228">
        <f>'12_FixedAssets'!G6</f>
        <v>1069</v>
      </c>
      <c r="G26" s="228">
        <f>'12_FixedAssets'!H6</f>
        <v>3236</v>
      </c>
      <c r="H26" s="228">
        <f>'12_FixedAssets'!I6</f>
        <v>6346.987799999999</v>
      </c>
      <c r="I26" s="228">
        <f>'12_FixedAssets'!J6</f>
        <v>9443.8811519999999</v>
      </c>
      <c r="J26" s="228">
        <f>'12_FixedAssets'!K6</f>
        <v>12258.155449584001</v>
      </c>
      <c r="K26" s="228">
        <f>'12_FixedAssets'!L6</f>
        <v>12879.315621856798</v>
      </c>
      <c r="L26" s="228">
        <f>'12_FixedAssets'!M6</f>
        <v>14606.785050256021</v>
      </c>
    </row>
    <row r="27" spans="1:12" ht="15.6" customHeight="1" x14ac:dyDescent="0.3">
      <c r="A27" s="198" t="str">
        <f>'12_FixedAssets'!A7</f>
        <v>CaPex, % Revenue</v>
      </c>
      <c r="B27" s="229">
        <f>'12_FixedAssets'!C7</f>
        <v>4.478842278805642E-2</v>
      </c>
      <c r="C27" s="229">
        <f>'12_FixedAssets'!D7</f>
        <v>6.7646176911544231E-2</v>
      </c>
      <c r="D27" s="229">
        <f>'12_FixedAssets'!E7</f>
        <v>3.6263654603552055E-2</v>
      </c>
      <c r="E27" s="229">
        <f>'12_FixedAssets'!F7</f>
        <v>6.7954326388373995E-2</v>
      </c>
      <c r="F27" s="229">
        <f>'12_FixedAssets'!G7</f>
        <v>1.7547027346442992E-2</v>
      </c>
      <c r="G27" s="229">
        <f>'12_FixedAssets'!H7</f>
        <v>2.4797504923484832E-2</v>
      </c>
      <c r="H27" s="229">
        <f>'12_FixedAssets'!I7</f>
        <v>0.03</v>
      </c>
      <c r="I27" s="229">
        <f>'12_FixedAssets'!J7</f>
        <v>3.2000000000000001E-2</v>
      </c>
      <c r="J27" s="229">
        <f>'12_FixedAssets'!K7</f>
        <v>3.3000000000000002E-2</v>
      </c>
      <c r="K27" s="229">
        <f>'12_FixedAssets'!L7</f>
        <v>0.03</v>
      </c>
      <c r="L27" s="229">
        <f>'12_FixedAssets'!M7</f>
        <v>2.8000000000000001E-2</v>
      </c>
    </row>
    <row r="29" spans="1:12" x14ac:dyDescent="0.3">
      <c r="A29" s="280" t="str">
        <f>'12_FixedAssets'!J43</f>
        <v>Future Amortization expenses 10-k</v>
      </c>
      <c r="B29" s="280"/>
    </row>
    <row r="30" spans="1:12" x14ac:dyDescent="0.3">
      <c r="A30" s="1" t="str">
        <f>'12_FixedAssets'!J44</f>
        <v>Fiscal Year</v>
      </c>
      <c r="B30" s="1" t="str">
        <f>'12_FixedAssets'!K44</f>
        <v>(in millions $)</v>
      </c>
    </row>
    <row r="31" spans="1:12" x14ac:dyDescent="0.3">
      <c r="A31" s="1">
        <f>'12_FixedAssets'!J45</f>
        <v>2026</v>
      </c>
      <c r="B31">
        <f>'12_FixedAssets'!K45</f>
        <v>354</v>
      </c>
    </row>
    <row r="32" spans="1:12" x14ac:dyDescent="0.3">
      <c r="A32" s="1">
        <f>'12_FixedAssets'!J46</f>
        <v>2027</v>
      </c>
      <c r="B32">
        <f>'12_FixedAssets'!K46</f>
        <v>236</v>
      </c>
    </row>
    <row r="33" spans="1:2" x14ac:dyDescent="0.3">
      <c r="A33" s="1">
        <f>'12_FixedAssets'!J47</f>
        <v>2028</v>
      </c>
      <c r="B33">
        <f>'12_FixedAssets'!K47</f>
        <v>84</v>
      </c>
    </row>
    <row r="34" spans="1:2" x14ac:dyDescent="0.3">
      <c r="A34" s="1">
        <f>'12_FixedAssets'!J48</f>
        <v>2029</v>
      </c>
      <c r="B34">
        <f>'12_FixedAssets'!K48</f>
        <v>31</v>
      </c>
    </row>
    <row r="35" spans="1:2" x14ac:dyDescent="0.3">
      <c r="A35" s="1">
        <f>'12_FixedAssets'!J49</f>
        <v>2030</v>
      </c>
      <c r="B35">
        <f>'12_FixedAssets'!K49</f>
        <v>10</v>
      </c>
    </row>
    <row r="36" spans="1:2" x14ac:dyDescent="0.3">
      <c r="A36" s="1" t="str">
        <f>'12_FixedAssets'!J50</f>
        <v>2031 and thereafter</v>
      </c>
      <c r="B36">
        <f>'12_FixedAssets'!K50</f>
        <v>92</v>
      </c>
    </row>
    <row r="37" spans="1:2" x14ac:dyDescent="0.3">
      <c r="A37" s="1" t="str">
        <f>'12_FixedAssets'!J51</f>
        <v>Total</v>
      </c>
      <c r="B37">
        <f>'12_FixedAssets'!K51</f>
        <v>807</v>
      </c>
    </row>
  </sheetData>
  <mergeCells count="3">
    <mergeCell ref="B24:G24"/>
    <mergeCell ref="H24:L24"/>
    <mergeCell ref="B5:F5"/>
  </mergeCells>
  <dataValidations count="1">
    <dataValidation type="list" allowBlank="1" showInputMessage="1" showErrorMessage="1" sqref="B3" xr:uid="{00000000-0002-0000-0F00-000000000000}">
      <formula1>$N$4:$S$4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66"/>
  <sheetViews>
    <sheetView showGridLines="0" zoomScale="77" workbookViewId="0">
      <selection activeCell="Q14" sqref="Q14"/>
    </sheetView>
  </sheetViews>
  <sheetFormatPr defaultRowHeight="14.4" x14ac:dyDescent="0.3"/>
  <cols>
    <col min="1" max="1" width="25.109375" customWidth="1"/>
    <col min="2" max="2" width="10.109375" bestFit="1" customWidth="1"/>
    <col min="3" max="7" width="12.6640625" bestFit="1" customWidth="1"/>
    <col min="8" max="8" width="19.33203125" customWidth="1"/>
    <col min="9" max="9" width="17.21875" customWidth="1"/>
    <col min="10" max="13" width="13.88671875" bestFit="1" customWidth="1"/>
  </cols>
  <sheetData>
    <row r="1" spans="1:14" ht="21" customHeight="1" x14ac:dyDescent="0.3">
      <c r="A1" s="739" t="s">
        <v>618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</row>
    <row r="3" spans="1:14" ht="27" customHeight="1" x14ac:dyDescent="0.3">
      <c r="A3" s="713" t="s">
        <v>619</v>
      </c>
      <c r="B3" s="700"/>
      <c r="C3" s="709" t="s">
        <v>15</v>
      </c>
      <c r="D3" s="700"/>
      <c r="E3" s="700"/>
      <c r="F3" s="700"/>
      <c r="G3" s="700"/>
      <c r="H3" s="700"/>
      <c r="I3" s="709" t="s">
        <v>5</v>
      </c>
      <c r="J3" s="700"/>
      <c r="K3" s="700"/>
      <c r="L3" s="700"/>
      <c r="M3" s="700"/>
      <c r="N3" s="184"/>
    </row>
    <row r="4" spans="1:14" ht="15.6" customHeight="1" x14ac:dyDescent="0.3">
      <c r="A4" s="31" t="s">
        <v>620</v>
      </c>
      <c r="B4" s="440"/>
      <c r="C4" s="278" t="s">
        <v>350</v>
      </c>
      <c r="D4" s="278" t="s">
        <v>188</v>
      </c>
      <c r="E4" s="278" t="s">
        <v>189</v>
      </c>
      <c r="F4" s="278" t="s">
        <v>190</v>
      </c>
      <c r="G4" s="278" t="s">
        <v>191</v>
      </c>
      <c r="H4" s="278" t="s">
        <v>192</v>
      </c>
      <c r="I4" s="278" t="s">
        <v>6</v>
      </c>
      <c r="J4" s="278" t="s">
        <v>7</v>
      </c>
      <c r="K4" s="278" t="s">
        <v>8</v>
      </c>
      <c r="L4" s="278" t="s">
        <v>9</v>
      </c>
      <c r="M4" s="278" t="s">
        <v>10</v>
      </c>
    </row>
    <row r="5" spans="1:14" ht="15.6" customHeight="1" x14ac:dyDescent="0.3">
      <c r="A5" s="359" t="s">
        <v>151</v>
      </c>
      <c r="B5" s="270"/>
      <c r="C5" s="418">
        <f>'04a_Projection_IS'!B81</f>
        <v>10918</v>
      </c>
      <c r="D5" s="418">
        <f>'04a_Projection_IS'!C81</f>
        <v>16675</v>
      </c>
      <c r="E5" s="418">
        <f>'04a_Projection_IS'!D81</f>
        <v>26914</v>
      </c>
      <c r="F5" s="418">
        <f>'04a_Projection_IS'!E81</f>
        <v>26974</v>
      </c>
      <c r="G5" s="418">
        <f>'04a_Projection_IS'!F81</f>
        <v>60922</v>
      </c>
      <c r="H5" s="418">
        <f>'04a_Projection_IS'!G81</f>
        <v>130497</v>
      </c>
      <c r="I5" s="418">
        <f>'04a_Projection_IS'!H81</f>
        <v>211566.25999999998</v>
      </c>
      <c r="J5" s="418">
        <f>'04a_Projection_IS'!I81</f>
        <v>295121.28599999996</v>
      </c>
      <c r="K5" s="418">
        <f>'04a_Projection_IS'!J81</f>
        <v>371459.25604800001</v>
      </c>
      <c r="L5" s="418">
        <f>'04a_Projection_IS'!K81</f>
        <v>429310.52072855999</v>
      </c>
      <c r="M5" s="418">
        <f>'04a_Projection_IS'!L81</f>
        <v>521670.89465200074</v>
      </c>
    </row>
    <row r="6" spans="1:14" ht="15.6" customHeight="1" x14ac:dyDescent="0.3">
      <c r="A6" s="359" t="s">
        <v>621</v>
      </c>
      <c r="B6" s="270"/>
      <c r="C6" s="418">
        <f>489</f>
        <v>489</v>
      </c>
      <c r="D6" s="418">
        <v>1128</v>
      </c>
      <c r="E6" s="418">
        <v>976</v>
      </c>
      <c r="F6" s="418">
        <f>-'03_Historical_CF'!B25</f>
        <v>1833</v>
      </c>
      <c r="G6" s="418">
        <f>-'03_Historical_CF'!C25</f>
        <v>1069</v>
      </c>
      <c r="H6" s="418">
        <f>-'03_Historical_CF'!D25</f>
        <v>3236</v>
      </c>
      <c r="I6" s="418">
        <f>I5*I7</f>
        <v>6346.987799999999</v>
      </c>
      <c r="J6" s="418">
        <f>J5*J7</f>
        <v>9443.8811519999999</v>
      </c>
      <c r="K6" s="418">
        <f>K5*K7</f>
        <v>12258.155449584001</v>
      </c>
      <c r="L6" s="418">
        <f>L5*L7</f>
        <v>12879.315621856798</v>
      </c>
      <c r="M6" s="418">
        <f>M5*M7</f>
        <v>14606.785050256021</v>
      </c>
    </row>
    <row r="7" spans="1:14" ht="15.6" customHeight="1" x14ac:dyDescent="0.3">
      <c r="A7" s="359" t="s">
        <v>622</v>
      </c>
      <c r="B7" s="270"/>
      <c r="C7" s="419">
        <f t="shared" ref="C7:H7" si="0">C6/C5</f>
        <v>4.478842278805642E-2</v>
      </c>
      <c r="D7" s="419">
        <f t="shared" si="0"/>
        <v>6.7646176911544231E-2</v>
      </c>
      <c r="E7" s="419">
        <f t="shared" si="0"/>
        <v>3.6263654603552055E-2</v>
      </c>
      <c r="F7" s="419">
        <f t="shared" si="0"/>
        <v>6.7954326388373995E-2</v>
      </c>
      <c r="G7" s="419">
        <f t="shared" si="0"/>
        <v>1.7547027346442992E-2</v>
      </c>
      <c r="H7" s="419">
        <f t="shared" si="0"/>
        <v>2.4797504923484832E-2</v>
      </c>
      <c r="I7" s="419">
        <f>B37</f>
        <v>0.03</v>
      </c>
      <c r="J7" s="419">
        <f>C37</f>
        <v>3.2000000000000001E-2</v>
      </c>
      <c r="K7" s="419">
        <f>D37</f>
        <v>3.3000000000000002E-2</v>
      </c>
      <c r="L7" s="419">
        <f>E37</f>
        <v>0.03</v>
      </c>
      <c r="M7" s="419">
        <f>F37</f>
        <v>2.8000000000000001E-2</v>
      </c>
    </row>
    <row r="8" spans="1:14" ht="15.6" customHeight="1" x14ac:dyDescent="0.3">
      <c r="A8" s="359"/>
      <c r="B8" s="270"/>
      <c r="C8" s="418"/>
      <c r="D8" s="418"/>
      <c r="E8" s="418"/>
      <c r="F8" s="418"/>
      <c r="G8" s="418"/>
      <c r="H8" s="418"/>
      <c r="I8" s="418"/>
      <c r="J8" s="418"/>
      <c r="K8" s="418"/>
      <c r="L8" s="418"/>
      <c r="M8" s="418"/>
    </row>
    <row r="9" spans="1:14" ht="15.6" customHeight="1" x14ac:dyDescent="0.3">
      <c r="A9" s="441" t="s">
        <v>623</v>
      </c>
      <c r="B9" s="342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184"/>
    </row>
    <row r="10" spans="1:14" ht="15.6" customHeight="1" x14ac:dyDescent="0.3">
      <c r="A10" s="359" t="s">
        <v>624</v>
      </c>
      <c r="B10" s="270"/>
      <c r="C10" s="421">
        <v>0</v>
      </c>
      <c r="D10" s="422">
        <v>0</v>
      </c>
      <c r="E10" s="422">
        <f>'02_Historical_BS'!B11</f>
        <v>2149</v>
      </c>
      <c r="F10" s="422">
        <f>'02_Historical_BS'!C11</f>
        <v>2778</v>
      </c>
      <c r="G10" s="422">
        <f>'02_Historical_BS'!D11</f>
        <v>3807</v>
      </c>
      <c r="H10" s="422">
        <f>'02_Historical_BS'!E11</f>
        <v>3914</v>
      </c>
      <c r="I10" s="418">
        <f>'02_Historical_BS'!F11</f>
        <v>6283</v>
      </c>
      <c r="J10" s="418">
        <f>I12</f>
        <v>12629.987799999999</v>
      </c>
      <c r="K10" s="418">
        <f>J12</f>
        <v>22073.868951999997</v>
      </c>
      <c r="L10" s="418">
        <f>K12</f>
        <v>34332.024401584</v>
      </c>
      <c r="M10" s="418">
        <f>L12</f>
        <v>47211.340023440796</v>
      </c>
      <c r="N10" s="154"/>
    </row>
    <row r="11" spans="1:14" ht="15.6" customHeight="1" x14ac:dyDescent="0.3">
      <c r="A11" s="359" t="s">
        <v>625</v>
      </c>
      <c r="B11" s="270"/>
      <c r="C11" s="421">
        <v>0</v>
      </c>
      <c r="D11" s="422">
        <f t="shared" ref="D11:M11" si="1">D6</f>
        <v>1128</v>
      </c>
      <c r="E11" s="422">
        <f t="shared" si="1"/>
        <v>976</v>
      </c>
      <c r="F11" s="422">
        <f t="shared" si="1"/>
        <v>1833</v>
      </c>
      <c r="G11" s="422">
        <f t="shared" si="1"/>
        <v>1069</v>
      </c>
      <c r="H11" s="422">
        <f t="shared" si="1"/>
        <v>3236</v>
      </c>
      <c r="I11" s="422">
        <f t="shared" si="1"/>
        <v>6346.987799999999</v>
      </c>
      <c r="J11" s="422">
        <f t="shared" si="1"/>
        <v>9443.8811519999999</v>
      </c>
      <c r="K11" s="422">
        <f t="shared" si="1"/>
        <v>12258.155449584001</v>
      </c>
      <c r="L11" s="422">
        <f t="shared" si="1"/>
        <v>12879.315621856798</v>
      </c>
      <c r="M11" s="422">
        <f t="shared" si="1"/>
        <v>14606.785050256021</v>
      </c>
      <c r="N11" s="154"/>
    </row>
    <row r="12" spans="1:14" ht="15.6" customHeight="1" x14ac:dyDescent="0.3">
      <c r="A12" s="442" t="s">
        <v>626</v>
      </c>
      <c r="B12" s="443"/>
      <c r="C12" s="423">
        <v>0</v>
      </c>
      <c r="D12" s="424">
        <f t="shared" ref="D12:M12" si="2">SUM(D10:D11)</f>
        <v>1128</v>
      </c>
      <c r="E12" s="424">
        <f t="shared" si="2"/>
        <v>3125</v>
      </c>
      <c r="F12" s="424">
        <f t="shared" si="2"/>
        <v>4611</v>
      </c>
      <c r="G12" s="424">
        <f t="shared" si="2"/>
        <v>4876</v>
      </c>
      <c r="H12" s="424">
        <f t="shared" si="2"/>
        <v>7150</v>
      </c>
      <c r="I12" s="425">
        <f t="shared" si="2"/>
        <v>12629.987799999999</v>
      </c>
      <c r="J12" s="425">
        <f t="shared" si="2"/>
        <v>22073.868951999997</v>
      </c>
      <c r="K12" s="425">
        <f t="shared" si="2"/>
        <v>34332.024401584</v>
      </c>
      <c r="L12" s="425">
        <f t="shared" si="2"/>
        <v>47211.340023440796</v>
      </c>
      <c r="M12" s="425">
        <f t="shared" si="2"/>
        <v>61818.125073696821</v>
      </c>
      <c r="N12" s="154"/>
    </row>
    <row r="13" spans="1:14" ht="15.6" customHeight="1" x14ac:dyDescent="0.3">
      <c r="A13" s="444" t="s">
        <v>627</v>
      </c>
      <c r="B13" s="445"/>
      <c r="C13" s="426">
        <v>0</v>
      </c>
      <c r="D13" s="427">
        <f>D15-D12</f>
        <v>1021</v>
      </c>
      <c r="E13" s="427">
        <f>E15-E12</f>
        <v>-347</v>
      </c>
      <c r="F13" s="427">
        <f>F15-F12</f>
        <v>-804</v>
      </c>
      <c r="G13" s="427">
        <f>G15-G12</f>
        <v>-962</v>
      </c>
      <c r="H13" s="427">
        <f>H15-H12</f>
        <v>-867</v>
      </c>
      <c r="I13" s="428">
        <f>-'11_DA'!B17</f>
        <v>-2692.1975599999996</v>
      </c>
      <c r="J13" s="428">
        <f>-'11_DA'!C17</f>
        <v>-4580.9737903999994</v>
      </c>
      <c r="K13" s="428">
        <f>-'11_DA'!D17</f>
        <v>-6837.4048803167998</v>
      </c>
      <c r="L13" s="428">
        <f>-'11_DA'!E17</f>
        <v>-9046.6680046881593</v>
      </c>
      <c r="M13" s="428">
        <f>-'11_DA'!F17</f>
        <v>-11107.025014739364</v>
      </c>
      <c r="N13" s="185"/>
    </row>
    <row r="14" spans="1:14" ht="15.6" customHeight="1" x14ac:dyDescent="0.3">
      <c r="A14" s="359" t="s">
        <v>628</v>
      </c>
      <c r="B14" s="270"/>
      <c r="C14" s="429">
        <v>0</v>
      </c>
      <c r="D14" s="430">
        <v>0</v>
      </c>
      <c r="E14" s="430">
        <f>-E13/E10</f>
        <v>0.1614704513727315</v>
      </c>
      <c r="F14" s="430">
        <f>-F13/F10</f>
        <v>0.2894168466522678</v>
      </c>
      <c r="G14" s="430">
        <f>-G13/G10</f>
        <v>0.25269240872077753</v>
      </c>
      <c r="H14" s="430">
        <f>-H13/H10</f>
        <v>0.22151251916198261</v>
      </c>
      <c r="I14" s="431">
        <f>B42</f>
        <v>0.22</v>
      </c>
      <c r="J14" s="431">
        <f>C42</f>
        <v>0.22</v>
      </c>
      <c r="K14" s="431">
        <f>D42</f>
        <v>0.22</v>
      </c>
      <c r="L14" s="431">
        <f>E42</f>
        <v>0.22</v>
      </c>
      <c r="M14" s="431">
        <f>F42</f>
        <v>0.22</v>
      </c>
      <c r="N14" s="185"/>
    </row>
    <row r="15" spans="1:14" ht="15.6" customHeight="1" x14ac:dyDescent="0.3">
      <c r="A15" s="446" t="s">
        <v>629</v>
      </c>
      <c r="B15" s="416"/>
      <c r="C15" s="425">
        <f>D10</f>
        <v>0</v>
      </c>
      <c r="D15" s="226">
        <v>2149</v>
      </c>
      <c r="E15" s="226">
        <v>2778</v>
      </c>
      <c r="F15" s="226">
        <v>3807</v>
      </c>
      <c r="G15" s="226">
        <v>3914</v>
      </c>
      <c r="H15" s="226">
        <v>6283</v>
      </c>
      <c r="I15" s="424">
        <f>I12+I13</f>
        <v>9937.7902399999984</v>
      </c>
      <c r="J15" s="424">
        <f>J12+J13</f>
        <v>17492.895161599998</v>
      </c>
      <c r="K15" s="424">
        <f>K12+K13</f>
        <v>27494.619521267199</v>
      </c>
      <c r="L15" s="424">
        <f>L12+L13</f>
        <v>38164.672018752637</v>
      </c>
      <c r="M15" s="424">
        <f>M12+M13</f>
        <v>50711.100058957454</v>
      </c>
      <c r="N15" s="157"/>
    </row>
    <row r="16" spans="1:14" ht="15.6" customHeight="1" x14ac:dyDescent="0.3">
      <c r="A16" s="359"/>
      <c r="B16" s="270"/>
      <c r="C16" s="421"/>
      <c r="D16" s="429"/>
      <c r="E16" s="429"/>
      <c r="F16" s="429"/>
      <c r="G16" s="429"/>
      <c r="H16" s="429"/>
      <c r="I16" s="421"/>
      <c r="J16" s="421"/>
      <c r="K16" s="421"/>
      <c r="L16" s="421"/>
      <c r="M16" s="421"/>
    </row>
    <row r="17" spans="1:13" ht="15.6" customHeight="1" x14ac:dyDescent="0.3">
      <c r="A17" s="358" t="s">
        <v>630</v>
      </c>
      <c r="B17" s="447"/>
      <c r="C17" s="432"/>
      <c r="D17" s="433">
        <f t="shared" ref="D17:M17" si="3">D12/D5</f>
        <v>6.7646176911544231E-2</v>
      </c>
      <c r="E17" s="433">
        <f t="shared" si="3"/>
        <v>0.11611057442223378</v>
      </c>
      <c r="F17" s="433">
        <f t="shared" si="3"/>
        <v>0.17094238896715355</v>
      </c>
      <c r="G17" s="433">
        <f t="shared" si="3"/>
        <v>8.0036768326712845E-2</v>
      </c>
      <c r="H17" s="433">
        <f t="shared" si="3"/>
        <v>5.4790531583101529E-2</v>
      </c>
      <c r="I17" s="433">
        <f t="shared" si="3"/>
        <v>5.9697551963153295E-2</v>
      </c>
      <c r="J17" s="433">
        <f t="shared" si="3"/>
        <v>7.4795922893884384E-2</v>
      </c>
      <c r="K17" s="433">
        <f t="shared" si="3"/>
        <v>9.2424737956045472E-2</v>
      </c>
      <c r="L17" s="433">
        <f t="shared" si="3"/>
        <v>0.10997014455485728</v>
      </c>
      <c r="M17" s="433">
        <f t="shared" si="3"/>
        <v>0.11850023780785167</v>
      </c>
    </row>
    <row r="19" spans="1:13" ht="15.6" customHeight="1" x14ac:dyDescent="0.3">
      <c r="A19" s="448" t="str">
        <f>'03_Historical_CF'!A50</f>
        <v>Accumulated Amortization</v>
      </c>
      <c r="B19" s="270"/>
      <c r="C19" s="427">
        <f>'03_Historical_CF'!B50</f>
        <v>25</v>
      </c>
      <c r="D19" s="427">
        <f>'03_Historical_CF'!C50</f>
        <v>612</v>
      </c>
      <c r="E19" s="427">
        <f>'03_Historical_CF'!D50</f>
        <v>563</v>
      </c>
      <c r="F19" s="427">
        <f>'03_Historical_CF'!E50</f>
        <v>699</v>
      </c>
      <c r="G19" s="427">
        <f>'03_Historical_CF'!F50</f>
        <v>614</v>
      </c>
      <c r="H19" s="427">
        <f>'03_Historical_CF'!G50</f>
        <v>593</v>
      </c>
      <c r="I19" s="418">
        <f>K45</f>
        <v>354</v>
      </c>
      <c r="J19" s="418">
        <f>K46</f>
        <v>236</v>
      </c>
      <c r="K19" s="418">
        <f>K47</f>
        <v>84</v>
      </c>
      <c r="L19" s="418">
        <f>K48</f>
        <v>31</v>
      </c>
      <c r="M19" s="418">
        <f>10</f>
        <v>10</v>
      </c>
    </row>
    <row r="20" spans="1:13" ht="15.6" customHeight="1" x14ac:dyDescent="0.3">
      <c r="A20" s="359"/>
      <c r="B20" s="270"/>
      <c r="C20" s="421"/>
      <c r="D20" s="421"/>
      <c r="E20" s="421"/>
      <c r="F20" s="421"/>
      <c r="G20" s="421"/>
      <c r="H20" s="421"/>
      <c r="I20" s="421"/>
      <c r="J20" s="421"/>
      <c r="K20" s="421"/>
      <c r="L20" s="421"/>
      <c r="M20" s="421"/>
    </row>
    <row r="21" spans="1:13" ht="15.6" customHeight="1" x14ac:dyDescent="0.3">
      <c r="A21" s="441" t="s">
        <v>631</v>
      </c>
      <c r="B21" s="342"/>
      <c r="C21" s="420"/>
      <c r="D21" s="420"/>
      <c r="E21" s="420"/>
      <c r="F21" s="420"/>
      <c r="G21" s="420"/>
      <c r="H21" s="420"/>
      <c r="I21" s="420"/>
      <c r="J21" s="420"/>
      <c r="K21" s="420"/>
      <c r="L21" s="420"/>
      <c r="M21" s="420"/>
    </row>
    <row r="22" spans="1:13" ht="15.6" customHeight="1" x14ac:dyDescent="0.3">
      <c r="A22" s="359" t="s">
        <v>624</v>
      </c>
      <c r="B22" s="270"/>
      <c r="C22" s="421">
        <v>0</v>
      </c>
      <c r="D22" s="421">
        <f t="shared" ref="D22:M22" si="4">C27</f>
        <v>49</v>
      </c>
      <c r="E22" s="421">
        <f t="shared" si="4"/>
        <v>2737</v>
      </c>
      <c r="F22" s="421">
        <f t="shared" si="4"/>
        <v>2339</v>
      </c>
      <c r="G22" s="421">
        <f t="shared" si="4"/>
        <v>1676</v>
      </c>
      <c r="H22" s="421">
        <f t="shared" si="4"/>
        <v>1112</v>
      </c>
      <c r="I22" s="421">
        <f t="shared" si="4"/>
        <v>807</v>
      </c>
      <c r="J22" s="434">
        <f t="shared" si="4"/>
        <v>1214.6385359999999</v>
      </c>
      <c r="K22" s="434">
        <f t="shared" si="4"/>
        <v>2111.9042742399997</v>
      </c>
      <c r="L22" s="434">
        <f t="shared" si="4"/>
        <v>3498.8829281900798</v>
      </c>
      <c r="M22" s="434">
        <f t="shared" si="4"/>
        <v>5013.4008028128956</v>
      </c>
    </row>
    <row r="23" spans="1:13" ht="15.6" customHeight="1" x14ac:dyDescent="0.3">
      <c r="A23" s="359" t="s">
        <v>632</v>
      </c>
      <c r="B23" s="270"/>
      <c r="C23" s="421">
        <v>0</v>
      </c>
      <c r="D23" s="429">
        <f>D27-D22+D26</f>
        <v>3300</v>
      </c>
      <c r="E23" s="429">
        <f>E27-E22+E26</f>
        <v>165</v>
      </c>
      <c r="F23" s="429">
        <f>F27-F22+F26</f>
        <v>36</v>
      </c>
      <c r="G23" s="429">
        <f>G27-G22+G26</f>
        <v>50</v>
      </c>
      <c r="H23" s="429">
        <f>H27-H22+H26</f>
        <v>288</v>
      </c>
      <c r="I23" s="429">
        <f>I24*I6</f>
        <v>761.63853599999982</v>
      </c>
      <c r="J23" s="429">
        <f>J24*J6</f>
        <v>1133.26573824</v>
      </c>
      <c r="K23" s="429">
        <f>K24*K6</f>
        <v>1470.9786539500801</v>
      </c>
      <c r="L23" s="429">
        <f>L24*L6</f>
        <v>1545.5178746228157</v>
      </c>
      <c r="M23" s="429">
        <f>M24*M6</f>
        <v>1752.8142060307225</v>
      </c>
    </row>
    <row r="24" spans="1:13" ht="15.6" customHeight="1" x14ac:dyDescent="0.3">
      <c r="A24" s="359" t="s">
        <v>633</v>
      </c>
      <c r="B24" s="270"/>
      <c r="C24" s="421"/>
      <c r="D24" s="419">
        <f>D23/D6</f>
        <v>2.9255319148936172</v>
      </c>
      <c r="E24" s="419">
        <f>E23/E6</f>
        <v>0.16905737704918034</v>
      </c>
      <c r="F24" s="419">
        <f>F23/F6</f>
        <v>1.9639934533551555E-2</v>
      </c>
      <c r="G24" s="419">
        <f>G23/G6</f>
        <v>4.6772684752104769E-2</v>
      </c>
      <c r="H24" s="419">
        <f>H23/H6</f>
        <v>8.8998763906056863E-2</v>
      </c>
      <c r="I24" s="435">
        <f>B47</f>
        <v>0.12</v>
      </c>
      <c r="J24" s="435">
        <f>C47</f>
        <v>0.12</v>
      </c>
      <c r="K24" s="435">
        <f>D47</f>
        <v>0.12</v>
      </c>
      <c r="L24" s="435">
        <f>E47</f>
        <v>0.12</v>
      </c>
      <c r="M24" s="435">
        <f>F47</f>
        <v>0.12</v>
      </c>
    </row>
    <row r="25" spans="1:13" ht="15.6" customHeight="1" x14ac:dyDescent="0.3">
      <c r="A25" s="442" t="s">
        <v>634</v>
      </c>
      <c r="B25" s="443"/>
      <c r="C25" s="436">
        <v>0</v>
      </c>
      <c r="D25" s="437">
        <f>D27+D26</f>
        <v>3349</v>
      </c>
      <c r="E25" s="437">
        <f>E27+E26</f>
        <v>2902</v>
      </c>
      <c r="F25" s="437">
        <f>F27+F26</f>
        <v>2375</v>
      </c>
      <c r="G25" s="437">
        <f>G27+G26</f>
        <v>1726</v>
      </c>
      <c r="H25" s="437">
        <f>H27+H26</f>
        <v>1400</v>
      </c>
      <c r="I25" s="437">
        <f>I22+I23</f>
        <v>1568.6385359999999</v>
      </c>
      <c r="J25" s="437">
        <f>J22+J23</f>
        <v>2347.9042742399997</v>
      </c>
      <c r="K25" s="437">
        <f>K22+K23</f>
        <v>3582.8829281900798</v>
      </c>
      <c r="L25" s="437">
        <f>L22+L23</f>
        <v>5044.4008028128956</v>
      </c>
      <c r="M25" s="437">
        <f>M22+M23</f>
        <v>6766.2150088436183</v>
      </c>
    </row>
    <row r="26" spans="1:13" ht="15.6" customHeight="1" x14ac:dyDescent="0.3">
      <c r="A26" s="449" t="s">
        <v>635</v>
      </c>
      <c r="B26" s="450"/>
      <c r="C26" s="438">
        <v>0</v>
      </c>
      <c r="D26" s="427">
        <f t="shared" ref="D26:L26" si="5">D19</f>
        <v>612</v>
      </c>
      <c r="E26" s="427">
        <f t="shared" si="5"/>
        <v>563</v>
      </c>
      <c r="F26" s="427">
        <f t="shared" si="5"/>
        <v>699</v>
      </c>
      <c r="G26" s="427">
        <f t="shared" si="5"/>
        <v>614</v>
      </c>
      <c r="H26" s="427">
        <f t="shared" si="5"/>
        <v>593</v>
      </c>
      <c r="I26" s="427">
        <f t="shared" si="5"/>
        <v>354</v>
      </c>
      <c r="J26" s="427">
        <f t="shared" si="5"/>
        <v>236</v>
      </c>
      <c r="K26" s="427">
        <f t="shared" si="5"/>
        <v>84</v>
      </c>
      <c r="L26" s="427">
        <f t="shared" si="5"/>
        <v>31</v>
      </c>
      <c r="M26" s="427">
        <f>+K49</f>
        <v>10</v>
      </c>
    </row>
    <row r="27" spans="1:13" ht="15.6" customHeight="1" x14ac:dyDescent="0.3">
      <c r="A27" s="442" t="s">
        <v>636</v>
      </c>
      <c r="B27" s="451"/>
      <c r="C27" s="423">
        <v>49</v>
      </c>
      <c r="D27" s="424">
        <f>'02_Historical_BS'!B14</f>
        <v>2737</v>
      </c>
      <c r="E27" s="424">
        <f>'02_Historical_BS'!C14</f>
        <v>2339</v>
      </c>
      <c r="F27" s="424">
        <f>'02_Historical_BS'!D14</f>
        <v>1676</v>
      </c>
      <c r="G27" s="424">
        <f>'02_Historical_BS'!E14</f>
        <v>1112</v>
      </c>
      <c r="H27" s="424">
        <f>'02_Historical_BS'!F14</f>
        <v>807</v>
      </c>
      <c r="I27" s="439">
        <f>I25-I26</f>
        <v>1214.6385359999999</v>
      </c>
      <c r="J27" s="439">
        <f>J25-J26</f>
        <v>2111.9042742399997</v>
      </c>
      <c r="K27" s="439">
        <f>K25-K26</f>
        <v>3498.8829281900798</v>
      </c>
      <c r="L27" s="439">
        <f>L25-L26</f>
        <v>5013.4008028128956</v>
      </c>
      <c r="M27" s="439">
        <f>M25-M26</f>
        <v>6756.2150088436183</v>
      </c>
    </row>
    <row r="28" spans="1:13" x14ac:dyDescent="0.3"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</row>
    <row r="30" spans="1:13" x14ac:dyDescent="0.3">
      <c r="D30" s="108"/>
      <c r="E30" s="108"/>
      <c r="F30" s="108"/>
      <c r="G30" s="108"/>
      <c r="H30" s="108"/>
    </row>
    <row r="32" spans="1:13" ht="15.6" customHeight="1" x14ac:dyDescent="0.3">
      <c r="F32" s="216"/>
      <c r="G32" s="216"/>
      <c r="H32" s="216"/>
    </row>
    <row r="34" spans="1:11" ht="15.6" customHeight="1" x14ac:dyDescent="0.3">
      <c r="A34" s="147" t="s">
        <v>398</v>
      </c>
      <c r="B34" s="147"/>
      <c r="C34" s="150"/>
      <c r="D34" s="150"/>
      <c r="E34" s="150"/>
      <c r="F34" s="150"/>
    </row>
    <row r="35" spans="1:11" ht="15.6" customHeight="1" x14ac:dyDescent="0.3">
      <c r="A35" s="149"/>
      <c r="B35" s="137" t="s">
        <v>22</v>
      </c>
      <c r="C35" s="138" t="s">
        <v>23</v>
      </c>
      <c r="D35" s="137" t="s">
        <v>24</v>
      </c>
      <c r="E35" s="138" t="s">
        <v>25</v>
      </c>
      <c r="F35" s="137" t="s">
        <v>26</v>
      </c>
    </row>
    <row r="36" spans="1:11" ht="15.6" customHeight="1" x14ac:dyDescent="0.3">
      <c r="A36" s="134" t="s">
        <v>637</v>
      </c>
      <c r="B36" s="149"/>
      <c r="C36" s="148"/>
      <c r="D36" s="148"/>
      <c r="E36" s="148"/>
      <c r="F36" s="148"/>
    </row>
    <row r="37" spans="1:11" ht="15.6" customHeight="1" x14ac:dyDescent="0.3">
      <c r="A37" s="139" t="s">
        <v>354</v>
      </c>
      <c r="B37" s="152">
        <v>0.03</v>
      </c>
      <c r="C37" s="152">
        <v>3.2000000000000001E-2</v>
      </c>
      <c r="D37" s="152">
        <v>3.3000000000000002E-2</v>
      </c>
      <c r="E37" s="152">
        <v>0.03</v>
      </c>
      <c r="F37" s="152">
        <v>2.8000000000000001E-2</v>
      </c>
    </row>
    <row r="38" spans="1:11" ht="15.6" customHeight="1" x14ac:dyDescent="0.3">
      <c r="A38" s="135" t="s">
        <v>355</v>
      </c>
      <c r="B38" s="152">
        <v>3.5000000000000003E-2</v>
      </c>
      <c r="C38" s="152">
        <v>0.04</v>
      </c>
      <c r="D38" s="152">
        <v>4.4999999999999998E-2</v>
      </c>
      <c r="E38" s="152">
        <v>3.5000000000000003E-2</v>
      </c>
      <c r="F38" s="152">
        <v>4.4999999999999998E-2</v>
      </c>
    </row>
    <row r="39" spans="1:11" ht="15.6" customHeight="1" x14ac:dyDescent="0.3">
      <c r="A39" s="135" t="s">
        <v>356</v>
      </c>
      <c r="B39" s="151">
        <v>0.02</v>
      </c>
      <c r="C39" s="151">
        <v>2.1999999999999999E-2</v>
      </c>
      <c r="D39" s="151">
        <v>2.3E-2</v>
      </c>
      <c r="E39" s="151">
        <v>0.02</v>
      </c>
      <c r="F39" s="151">
        <v>2.5000000000000001E-2</v>
      </c>
    </row>
    <row r="41" spans="1:11" ht="15.6" customHeight="1" x14ac:dyDescent="0.3">
      <c r="A41" s="134" t="s">
        <v>638</v>
      </c>
      <c r="B41" s="149"/>
      <c r="C41" s="148"/>
      <c r="D41" s="148"/>
      <c r="E41" s="148"/>
      <c r="F41" s="148"/>
    </row>
    <row r="42" spans="1:11" ht="15.6" customHeight="1" x14ac:dyDescent="0.3">
      <c r="A42" s="139" t="s">
        <v>354</v>
      </c>
      <c r="B42" s="133">
        <v>0.22</v>
      </c>
      <c r="C42" s="133">
        <v>0.22</v>
      </c>
      <c r="D42" s="133">
        <v>0.22</v>
      </c>
      <c r="E42" s="133">
        <v>0.22</v>
      </c>
      <c r="F42" s="133">
        <v>0.22</v>
      </c>
    </row>
    <row r="43" spans="1:11" ht="15.6" customHeight="1" x14ac:dyDescent="0.3">
      <c r="A43" s="135" t="s">
        <v>355</v>
      </c>
      <c r="B43" s="133">
        <f>B42+3%</f>
        <v>0.25</v>
      </c>
      <c r="C43" s="133">
        <f>C42+3%</f>
        <v>0.25</v>
      </c>
      <c r="D43" s="133">
        <f>D42+3%</f>
        <v>0.25</v>
      </c>
      <c r="E43" s="133">
        <f>E42+3%</f>
        <v>0.25</v>
      </c>
      <c r="F43" s="133">
        <f>F42+3%</f>
        <v>0.25</v>
      </c>
      <c r="J43" s="134" t="s">
        <v>639</v>
      </c>
      <c r="K43" s="134"/>
    </row>
    <row r="44" spans="1:11" ht="15.6" customHeight="1" x14ac:dyDescent="0.3">
      <c r="A44" s="135" t="s">
        <v>356</v>
      </c>
      <c r="B44" s="136">
        <f>B42-3%</f>
        <v>0.19</v>
      </c>
      <c r="C44" s="136">
        <f>C42-3%</f>
        <v>0.19</v>
      </c>
      <c r="D44" s="136">
        <f>D42-3%</f>
        <v>0.19</v>
      </c>
      <c r="E44" s="136">
        <f>E42-3%</f>
        <v>0.19</v>
      </c>
      <c r="F44" s="136">
        <f>F42-3%</f>
        <v>0.19</v>
      </c>
      <c r="J44" s="198" t="s">
        <v>187</v>
      </c>
      <c r="K44" s="200" t="s">
        <v>640</v>
      </c>
    </row>
    <row r="45" spans="1:11" ht="15.6" customHeight="1" x14ac:dyDescent="0.3">
      <c r="J45" s="195">
        <v>2026</v>
      </c>
      <c r="K45" s="196">
        <v>354</v>
      </c>
    </row>
    <row r="46" spans="1:11" ht="15.6" customHeight="1" x14ac:dyDescent="0.3">
      <c r="A46" s="147" t="s">
        <v>633</v>
      </c>
      <c r="B46" s="149"/>
      <c r="C46" s="148"/>
      <c r="D46" s="148"/>
      <c r="E46" s="148"/>
      <c r="F46" s="148"/>
      <c r="J46" s="192">
        <v>2027</v>
      </c>
      <c r="K46" s="194">
        <v>236</v>
      </c>
    </row>
    <row r="47" spans="1:11" ht="15.6" customHeight="1" x14ac:dyDescent="0.3">
      <c r="A47" s="139" t="s">
        <v>354</v>
      </c>
      <c r="B47" s="133">
        <v>0.12</v>
      </c>
      <c r="C47" s="133">
        <v>0.12</v>
      </c>
      <c r="D47" s="133">
        <v>0.12</v>
      </c>
      <c r="E47" s="133">
        <v>0.12</v>
      </c>
      <c r="F47" s="133">
        <v>0.12</v>
      </c>
      <c r="J47" s="192">
        <v>2028</v>
      </c>
      <c r="K47" s="197">
        <v>84</v>
      </c>
    </row>
    <row r="48" spans="1:11" ht="15.6" customHeight="1" x14ac:dyDescent="0.3">
      <c r="A48" s="135" t="s">
        <v>355</v>
      </c>
      <c r="B48" s="133">
        <v>0.15</v>
      </c>
      <c r="C48" s="133">
        <v>0.15</v>
      </c>
      <c r="D48" s="133">
        <v>0.15</v>
      </c>
      <c r="E48" s="133">
        <v>0.15</v>
      </c>
      <c r="F48" s="133">
        <v>0.15</v>
      </c>
      <c r="J48" s="193">
        <v>2029</v>
      </c>
      <c r="K48" s="197">
        <v>31</v>
      </c>
    </row>
    <row r="49" spans="1:11" ht="15.6" customHeight="1" x14ac:dyDescent="0.3">
      <c r="A49" s="135" t="s">
        <v>356</v>
      </c>
      <c r="B49" s="133">
        <v>0.08</v>
      </c>
      <c r="C49" s="133">
        <v>0.08</v>
      </c>
      <c r="D49" s="133">
        <v>0.08</v>
      </c>
      <c r="E49" s="133">
        <v>0.08</v>
      </c>
      <c r="F49" s="133">
        <v>0.08</v>
      </c>
      <c r="J49" s="195">
        <v>2030</v>
      </c>
      <c r="K49" s="201">
        <v>10</v>
      </c>
    </row>
    <row r="50" spans="1:11" ht="15.6" customHeight="1" x14ac:dyDescent="0.3">
      <c r="J50" s="195" t="s">
        <v>641</v>
      </c>
      <c r="K50" s="197">
        <v>92</v>
      </c>
    </row>
    <row r="51" spans="1:11" ht="15.6" customHeight="1" x14ac:dyDescent="0.3">
      <c r="J51" s="198" t="s">
        <v>642</v>
      </c>
      <c r="K51" s="199">
        <f>SUM(K45:K50)</f>
        <v>807</v>
      </c>
    </row>
    <row r="53" spans="1:11" x14ac:dyDescent="0.3">
      <c r="D53" s="108"/>
      <c r="E53" s="108"/>
      <c r="F53" s="108"/>
      <c r="G53" s="108"/>
      <c r="H53" s="108"/>
    </row>
    <row r="66" spans="42:42" ht="15.6" customHeight="1" x14ac:dyDescent="0.3">
      <c r="AP66" s="197"/>
    </row>
  </sheetData>
  <mergeCells count="4">
    <mergeCell ref="I3:M3"/>
    <mergeCell ref="A3:B3"/>
    <mergeCell ref="A1:M1"/>
    <mergeCell ref="C3:H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7"/>
  <sheetViews>
    <sheetView showGridLines="0" zoomScale="70" zoomScaleNormal="70" workbookViewId="0">
      <selection activeCell="A4" sqref="A4"/>
    </sheetView>
  </sheetViews>
  <sheetFormatPr defaultRowHeight="14.4" x14ac:dyDescent="0.3"/>
  <cols>
    <col min="1" max="1" width="27.21875" bestFit="1" customWidth="1"/>
    <col min="2" max="2" width="10" bestFit="1" customWidth="1"/>
    <col min="3" max="5" width="9.21875" bestFit="1" customWidth="1"/>
    <col min="6" max="6" width="10.33203125" customWidth="1"/>
    <col min="7" max="9" width="9.21875" bestFit="1" customWidth="1"/>
    <col min="10" max="10" width="9.88671875" bestFit="1" customWidth="1"/>
    <col min="11" max="11" width="9.21875" bestFit="1" customWidth="1"/>
    <col min="12" max="12" width="8.33203125" bestFit="1" customWidth="1"/>
    <col min="13" max="13" width="8.6640625" bestFit="1" customWidth="1"/>
  </cols>
  <sheetData>
    <row r="1" spans="1:16" ht="21" customHeight="1" x14ac:dyDescent="0.4">
      <c r="A1" s="543" t="s">
        <v>643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3" spans="1:16" s="211" customFormat="1" ht="28.8" customHeight="1" x14ac:dyDescent="0.3">
      <c r="A3" s="371" t="s">
        <v>643</v>
      </c>
      <c r="B3" s="371"/>
      <c r="C3" s="371"/>
      <c r="D3" s="708" t="s">
        <v>15</v>
      </c>
      <c r="E3" s="742"/>
      <c r="F3" s="742"/>
      <c r="G3" s="742"/>
      <c r="H3" s="742"/>
      <c r="I3" s="708" t="s">
        <v>5</v>
      </c>
      <c r="J3" s="742"/>
      <c r="K3" s="742"/>
      <c r="L3" s="742"/>
      <c r="M3" s="742"/>
    </row>
    <row r="4" spans="1:16" ht="15.6" customHeight="1" x14ac:dyDescent="0.3">
      <c r="A4" s="6" t="s">
        <v>620</v>
      </c>
      <c r="B4" s="477"/>
      <c r="C4" s="477"/>
      <c r="D4" s="6" t="s">
        <v>188</v>
      </c>
      <c r="E4" s="6" t="s">
        <v>189</v>
      </c>
      <c r="F4" s="6" t="s">
        <v>190</v>
      </c>
      <c r="G4" s="6" t="s">
        <v>191</v>
      </c>
      <c r="H4" s="6" t="s">
        <v>192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153"/>
      <c r="O4" s="153"/>
    </row>
    <row r="5" spans="1:16" ht="15.6" customHeight="1" x14ac:dyDescent="0.3">
      <c r="A5" s="4"/>
      <c r="B5" s="4"/>
      <c r="C5" s="4"/>
      <c r="D5" s="4"/>
      <c r="E5" s="4"/>
      <c r="F5" s="4"/>
      <c r="G5" s="4"/>
      <c r="H5" s="4"/>
      <c r="I5" s="464"/>
      <c r="J5" s="464"/>
      <c r="K5" s="464"/>
      <c r="L5" s="464"/>
      <c r="M5" s="464"/>
      <c r="N5" s="153"/>
      <c r="O5" s="153"/>
      <c r="P5" s="153"/>
    </row>
    <row r="6" spans="1:16" ht="15.6" customHeight="1" x14ac:dyDescent="0.3">
      <c r="A6" s="4" t="s">
        <v>624</v>
      </c>
      <c r="B6" s="4"/>
      <c r="C6" s="4"/>
      <c r="D6" s="478">
        <f t="shared" ref="D6:M6" si="0">C8</f>
        <v>10946</v>
      </c>
      <c r="E6" s="479">
        <f t="shared" si="0"/>
        <v>6963</v>
      </c>
      <c r="F6" s="479">
        <f t="shared" si="0"/>
        <v>10946</v>
      </c>
      <c r="G6" s="479">
        <f t="shared" si="0"/>
        <v>10953</v>
      </c>
      <c r="H6" s="479">
        <f t="shared" si="0"/>
        <v>9709</v>
      </c>
      <c r="I6" s="480">
        <f t="shared" si="0"/>
        <v>8463</v>
      </c>
      <c r="J6" s="481">
        <f t="shared" si="0"/>
        <v>7463</v>
      </c>
      <c r="K6" s="481">
        <f t="shared" si="0"/>
        <v>7463</v>
      </c>
      <c r="L6" s="481">
        <f t="shared" si="0"/>
        <v>6213</v>
      </c>
      <c r="M6" s="481">
        <f t="shared" si="0"/>
        <v>6213</v>
      </c>
      <c r="N6" s="16"/>
      <c r="O6" s="16"/>
      <c r="P6" s="16"/>
    </row>
    <row r="7" spans="1:16" ht="15.6" customHeight="1" x14ac:dyDescent="0.3">
      <c r="A7" s="4" t="s">
        <v>644</v>
      </c>
      <c r="B7" s="4"/>
      <c r="C7" s="4"/>
      <c r="D7" s="480">
        <f>D8-D6</f>
        <v>-3983</v>
      </c>
      <c r="E7" s="480">
        <f>E8-E6</f>
        <v>3983</v>
      </c>
      <c r="F7" s="480">
        <f>F8-F6</f>
        <v>7</v>
      </c>
      <c r="G7" s="480">
        <f>G8-G6</f>
        <v>-1244</v>
      </c>
      <c r="H7" s="480">
        <f>H8-H6</f>
        <v>-1246</v>
      </c>
      <c r="I7" s="481">
        <f>-B18</f>
        <v>-1000</v>
      </c>
      <c r="J7" s="481">
        <f>-C18</f>
        <v>0</v>
      </c>
      <c r="K7" s="481">
        <f>-D18</f>
        <v>-1250</v>
      </c>
      <c r="L7" s="481">
        <f>-E18</f>
        <v>0</v>
      </c>
      <c r="M7" s="481">
        <f>-F18</f>
        <v>-1500</v>
      </c>
      <c r="N7" s="16"/>
      <c r="O7" s="16"/>
      <c r="P7" s="16"/>
    </row>
    <row r="8" spans="1:16" ht="15.6" customHeight="1" x14ac:dyDescent="0.3">
      <c r="A8" s="349" t="s">
        <v>629</v>
      </c>
      <c r="B8" s="349"/>
      <c r="C8" s="482">
        <v>10946</v>
      </c>
      <c r="D8" s="483">
        <f>'02_Historical_BS'!B20+'02_Historical_BS'!B26</f>
        <v>6963</v>
      </c>
      <c r="E8" s="483">
        <f>'02_Historical_BS'!C20+'02_Historical_BS'!C26</f>
        <v>10946</v>
      </c>
      <c r="F8" s="483">
        <f>'02_Historical_BS'!D20+'02_Historical_BS'!D26</f>
        <v>10953</v>
      </c>
      <c r="G8" s="483">
        <f>'02_Historical_BS'!E20+'02_Historical_BS'!E26</f>
        <v>9709</v>
      </c>
      <c r="H8" s="483">
        <f>'02_Historical_BS'!F20+'02_Historical_BS'!F26</f>
        <v>8463</v>
      </c>
      <c r="I8" s="484">
        <f>I6+I7</f>
        <v>7463</v>
      </c>
      <c r="J8" s="484">
        <f>J6+J7</f>
        <v>7463</v>
      </c>
      <c r="K8" s="484">
        <f>K6+K7</f>
        <v>6213</v>
      </c>
      <c r="L8" s="484">
        <f>L6+L7</f>
        <v>6213</v>
      </c>
      <c r="M8" s="484">
        <f>M6+M7</f>
        <v>4713</v>
      </c>
      <c r="N8" s="16"/>
      <c r="O8" s="16"/>
      <c r="P8" s="16"/>
    </row>
    <row r="9" spans="1:16" ht="15.6" customHeight="1" x14ac:dyDescent="0.3">
      <c r="A9" s="485" t="s">
        <v>645</v>
      </c>
      <c r="B9" s="485"/>
      <c r="C9" s="486"/>
      <c r="D9" s="487">
        <f t="shared" ref="D9:M9" si="1">AVERAGE(D6,D8)</f>
        <v>8954.5</v>
      </c>
      <c r="E9" s="487">
        <f t="shared" si="1"/>
        <v>8954.5</v>
      </c>
      <c r="F9" s="487">
        <f t="shared" si="1"/>
        <v>10949.5</v>
      </c>
      <c r="G9" s="487">
        <f t="shared" si="1"/>
        <v>10331</v>
      </c>
      <c r="H9" s="487">
        <f t="shared" si="1"/>
        <v>9086</v>
      </c>
      <c r="I9" s="487">
        <f t="shared" si="1"/>
        <v>7963</v>
      </c>
      <c r="J9" s="487">
        <f t="shared" si="1"/>
        <v>7463</v>
      </c>
      <c r="K9" s="487">
        <f t="shared" si="1"/>
        <v>6838</v>
      </c>
      <c r="L9" s="487">
        <f t="shared" si="1"/>
        <v>6213</v>
      </c>
      <c r="M9" s="487">
        <f t="shared" si="1"/>
        <v>5463</v>
      </c>
      <c r="N9" s="16"/>
      <c r="O9" s="16"/>
      <c r="P9" s="16"/>
    </row>
    <row r="10" spans="1:16" ht="15.6" customHeight="1" x14ac:dyDescent="0.3">
      <c r="A10" s="4"/>
      <c r="B10" s="4"/>
      <c r="C10" s="4"/>
      <c r="D10" s="488"/>
      <c r="E10" s="488"/>
      <c r="F10" s="488"/>
      <c r="G10" s="4"/>
      <c r="H10" s="4"/>
      <c r="I10" s="489"/>
      <c r="J10" s="489"/>
      <c r="K10" s="489"/>
      <c r="L10" s="489"/>
      <c r="M10" s="489"/>
      <c r="N10" s="154"/>
      <c r="O10" s="154"/>
      <c r="P10" s="154"/>
    </row>
    <row r="11" spans="1:16" ht="15.6" customHeight="1" x14ac:dyDescent="0.3">
      <c r="A11" s="4" t="s">
        <v>646</v>
      </c>
      <c r="B11" s="4"/>
      <c r="C11" s="4"/>
      <c r="D11" s="490">
        <f>'01_Historical_IS'!B16</f>
        <v>-52</v>
      </c>
      <c r="E11" s="490">
        <f>'01_Historical_IS'!C16</f>
        <v>-184</v>
      </c>
      <c r="F11" s="490">
        <f>'01_Historical_IS'!D16</f>
        <v>-236</v>
      </c>
      <c r="G11" s="490">
        <f>'01_Historical_IS'!E16</f>
        <v>-262</v>
      </c>
      <c r="H11" s="490">
        <f>'01_Historical_IS'!F16</f>
        <v>-257</v>
      </c>
      <c r="I11" s="491">
        <f>-I9*I13</f>
        <v>-263.57529999999997</v>
      </c>
      <c r="J11" s="491">
        <f>-J9*J13</f>
        <v>-247.02529999999999</v>
      </c>
      <c r="K11" s="491">
        <f>-K9*K13</f>
        <v>-112.14320000000001</v>
      </c>
      <c r="L11" s="491">
        <f>-L9*L13</f>
        <v>-101.89320000000001</v>
      </c>
      <c r="M11" s="491">
        <f>-M9*M13</f>
        <v>-160.0659</v>
      </c>
      <c r="N11" s="156"/>
      <c r="O11" s="156"/>
      <c r="P11" s="156"/>
    </row>
    <row r="12" spans="1:16" ht="15.6" customHeight="1" x14ac:dyDescent="0.3">
      <c r="A12" s="4" t="s">
        <v>647</v>
      </c>
      <c r="B12" s="4"/>
      <c r="C12" s="4"/>
      <c r="D12" s="480"/>
      <c r="E12" s="480"/>
      <c r="F12" s="480"/>
      <c r="G12" s="480"/>
      <c r="H12" s="480"/>
      <c r="I12" s="492"/>
      <c r="J12" s="492"/>
      <c r="K12" s="492"/>
      <c r="L12" s="492"/>
      <c r="M12" s="492"/>
      <c r="N12" s="157"/>
      <c r="O12" s="157"/>
      <c r="P12" s="157"/>
    </row>
    <row r="13" spans="1:16" ht="15.6" customHeight="1" x14ac:dyDescent="0.3">
      <c r="A13" s="4" t="s">
        <v>648</v>
      </c>
      <c r="B13" s="4"/>
      <c r="C13" s="4"/>
      <c r="D13" s="470">
        <f>-D11/D9</f>
        <v>5.8071360768328769E-3</v>
      </c>
      <c r="E13" s="470">
        <f>-E11/E9</f>
        <v>2.0548327656485565E-2</v>
      </c>
      <c r="F13" s="470">
        <f>-F11/F9</f>
        <v>2.1553495593406091E-2</v>
      </c>
      <c r="G13" s="470">
        <f>-G11/G9</f>
        <v>2.536056528893621E-2</v>
      </c>
      <c r="H13" s="470">
        <f>-H11/H9</f>
        <v>2.8285274047985913E-2</v>
      </c>
      <c r="I13" s="493">
        <f>B25</f>
        <v>3.3099999999999997E-2</v>
      </c>
      <c r="J13" s="493">
        <f>C25</f>
        <v>3.3099999999999997E-2</v>
      </c>
      <c r="K13" s="493">
        <f>D25</f>
        <v>1.6400000000000001E-2</v>
      </c>
      <c r="L13" s="493">
        <f>E25</f>
        <v>1.6400000000000001E-2</v>
      </c>
      <c r="M13" s="493">
        <f>F25</f>
        <v>2.93E-2</v>
      </c>
      <c r="N13" s="16"/>
      <c r="O13" s="16"/>
      <c r="P13" s="16"/>
    </row>
    <row r="14" spans="1:16" x14ac:dyDescent="0.3">
      <c r="I14" s="158"/>
      <c r="J14" s="158"/>
      <c r="K14" s="158"/>
      <c r="L14" s="158"/>
      <c r="M14" s="158"/>
      <c r="N14" s="158"/>
      <c r="O14" s="158"/>
      <c r="P14" s="158"/>
    </row>
    <row r="15" spans="1:16" x14ac:dyDescent="0.3">
      <c r="I15" s="16"/>
      <c r="J15" s="16"/>
      <c r="K15" s="16"/>
      <c r="L15" s="16"/>
      <c r="M15" s="16"/>
      <c r="N15" s="16"/>
      <c r="O15" s="16"/>
      <c r="P15" s="16"/>
    </row>
    <row r="16" spans="1:16" ht="29.4" customHeight="1" x14ac:dyDescent="0.3">
      <c r="A16" s="741" t="s">
        <v>649</v>
      </c>
      <c r="B16" s="700"/>
      <c r="C16" s="700"/>
      <c r="D16" s="700"/>
      <c r="E16" s="700"/>
      <c r="F16" s="700"/>
      <c r="I16" s="155"/>
      <c r="J16" s="494"/>
      <c r="K16" s="155"/>
      <c r="L16" s="155"/>
      <c r="M16" s="155"/>
      <c r="N16" s="155"/>
      <c r="O16" s="155"/>
      <c r="P16" s="155"/>
    </row>
    <row r="17" spans="1:6" ht="15.6" customHeight="1" x14ac:dyDescent="0.3">
      <c r="A17" s="6" t="s">
        <v>620</v>
      </c>
      <c r="B17" s="6" t="s">
        <v>22</v>
      </c>
      <c r="C17" s="6" t="s">
        <v>650</v>
      </c>
      <c r="D17" s="6" t="s">
        <v>24</v>
      </c>
      <c r="E17" s="6" t="s">
        <v>25</v>
      </c>
      <c r="F17" s="6" t="s">
        <v>26</v>
      </c>
    </row>
    <row r="18" spans="1:6" ht="15.6" customHeight="1" x14ac:dyDescent="0.3">
      <c r="A18" s="5" t="s">
        <v>354</v>
      </c>
      <c r="B18" s="105">
        <v>1000</v>
      </c>
      <c r="C18" s="105">
        <v>0</v>
      </c>
      <c r="D18" s="105">
        <v>1250</v>
      </c>
      <c r="E18" s="105">
        <v>0</v>
      </c>
      <c r="F18" s="105">
        <v>1500</v>
      </c>
    </row>
    <row r="19" spans="1:6" ht="15.6" customHeight="1" x14ac:dyDescent="0.3">
      <c r="A19" s="5"/>
      <c r="B19" s="105"/>
      <c r="C19" s="105"/>
      <c r="D19" s="105"/>
      <c r="E19" s="105"/>
      <c r="F19" s="105"/>
    </row>
    <row r="20" spans="1:6" ht="15.6" customHeight="1" x14ac:dyDescent="0.3">
      <c r="A20" s="5"/>
      <c r="B20" s="105"/>
      <c r="C20" s="105"/>
      <c r="D20" s="105"/>
      <c r="E20" s="105"/>
      <c r="F20" s="105"/>
    </row>
    <row r="21" spans="1:6" ht="15.6" customHeight="1" x14ac:dyDescent="0.3">
      <c r="A21" s="4"/>
      <c r="B21" s="4"/>
      <c r="C21" s="4"/>
      <c r="D21" s="4"/>
      <c r="E21" s="4"/>
      <c r="F21" s="4"/>
    </row>
    <row r="22" spans="1:6" ht="15.6" customHeight="1" x14ac:dyDescent="0.3">
      <c r="A22" s="4"/>
      <c r="B22" s="4"/>
      <c r="C22" s="4"/>
      <c r="D22" s="4"/>
      <c r="E22" s="4"/>
      <c r="F22" s="4"/>
    </row>
    <row r="23" spans="1:6" s="211" customFormat="1" ht="35.4" customHeight="1" x14ac:dyDescent="0.3">
      <c r="A23" s="708" t="s">
        <v>651</v>
      </c>
      <c r="B23" s="742"/>
      <c r="C23" s="742"/>
      <c r="D23" s="742"/>
      <c r="E23" s="742"/>
      <c r="F23" s="742"/>
    </row>
    <row r="24" spans="1:6" ht="15.6" customHeight="1" x14ac:dyDescent="0.3">
      <c r="A24" s="6" t="s">
        <v>620</v>
      </c>
      <c r="B24" s="6" t="s">
        <v>22</v>
      </c>
      <c r="C24" s="6" t="s">
        <v>650</v>
      </c>
      <c r="D24" s="6" t="s">
        <v>24</v>
      </c>
      <c r="E24" s="6" t="s">
        <v>25</v>
      </c>
      <c r="F24" s="6" t="s">
        <v>26</v>
      </c>
    </row>
    <row r="25" spans="1:6" ht="15.6" customHeight="1" x14ac:dyDescent="0.3">
      <c r="A25" s="5" t="s">
        <v>354</v>
      </c>
      <c r="B25" s="323">
        <v>3.3099999999999997E-2</v>
      </c>
      <c r="C25" s="323">
        <v>3.3099999999999997E-2</v>
      </c>
      <c r="D25" s="323">
        <v>1.6400000000000001E-2</v>
      </c>
      <c r="E25" s="323">
        <v>1.6400000000000001E-2</v>
      </c>
      <c r="F25" s="323">
        <v>2.93E-2</v>
      </c>
    </row>
    <row r="26" spans="1:6" ht="15.6" customHeight="1" x14ac:dyDescent="0.3">
      <c r="A26" s="5" t="s">
        <v>355</v>
      </c>
      <c r="B26" s="323">
        <v>3.3099999999999997E-2</v>
      </c>
      <c r="C26" s="323">
        <v>2.8000000000000001E-2</v>
      </c>
      <c r="D26" s="323">
        <v>1.6400000000000001E-2</v>
      </c>
      <c r="E26" s="323">
        <v>1.2E-2</v>
      </c>
      <c r="F26" s="323">
        <v>2.93E-2</v>
      </c>
    </row>
    <row r="27" spans="1:6" ht="15.6" customHeight="1" x14ac:dyDescent="0.3">
      <c r="A27" s="5" t="s">
        <v>356</v>
      </c>
      <c r="B27" s="323">
        <v>3.3099999999999997E-2</v>
      </c>
      <c r="C27" s="323">
        <v>3.5000000000000003E-2</v>
      </c>
      <c r="D27" s="323">
        <v>1.6400000000000001E-2</v>
      </c>
      <c r="E27" s="323">
        <v>2.5999999999999999E-2</v>
      </c>
      <c r="F27" s="323">
        <v>2.93E-2</v>
      </c>
    </row>
  </sheetData>
  <mergeCells count="4">
    <mergeCell ref="A16:F16"/>
    <mergeCell ref="I3:M3"/>
    <mergeCell ref="A23:F23"/>
    <mergeCell ref="D3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S507"/>
  <sheetViews>
    <sheetView showGridLines="0" zoomScale="77" zoomScaleNormal="85" workbookViewId="0">
      <selection activeCell="S12" sqref="S12"/>
    </sheetView>
  </sheetViews>
  <sheetFormatPr defaultRowHeight="14.4" x14ac:dyDescent="0.3"/>
  <cols>
    <col min="1" max="1" width="10.33203125" bestFit="1" customWidth="1"/>
    <col min="3" max="3" width="7.21875" bestFit="1" customWidth="1"/>
    <col min="6" max="6" width="10.33203125" bestFit="1" customWidth="1"/>
    <col min="8" max="8" width="10.21875" bestFit="1" customWidth="1"/>
    <col min="11" max="11" width="18.5546875" bestFit="1" customWidth="1"/>
    <col min="12" max="12" width="12.6640625" bestFit="1" customWidth="1"/>
    <col min="13" max="13" width="13.21875" bestFit="1" customWidth="1"/>
    <col min="14" max="14" width="12.6640625" bestFit="1" customWidth="1"/>
    <col min="15" max="15" width="12" bestFit="1" customWidth="1"/>
    <col min="16" max="16" width="12.77734375" bestFit="1" customWidth="1"/>
    <col min="17" max="19" width="12" bestFit="1" customWidth="1"/>
  </cols>
  <sheetData>
    <row r="3" spans="1:12" ht="15.6" customHeight="1" x14ac:dyDescent="0.3">
      <c r="A3" s="743" t="s">
        <v>652</v>
      </c>
      <c r="B3" s="700"/>
      <c r="C3" s="700"/>
      <c r="F3" s="743" t="s">
        <v>653</v>
      </c>
      <c r="G3" s="700"/>
      <c r="H3" s="700"/>
    </row>
    <row r="4" spans="1:12" ht="15.6" customHeight="1" x14ac:dyDescent="0.3">
      <c r="A4" s="31" t="s">
        <v>654</v>
      </c>
      <c r="B4" s="31" t="s">
        <v>655</v>
      </c>
      <c r="C4" s="31" t="s">
        <v>656</v>
      </c>
      <c r="D4" s="12"/>
      <c r="E4" s="12"/>
      <c r="F4" s="31" t="s">
        <v>654</v>
      </c>
      <c r="G4" s="31" t="s">
        <v>655</v>
      </c>
      <c r="H4" s="31" t="s">
        <v>656</v>
      </c>
      <c r="K4" s="30" t="s">
        <v>657</v>
      </c>
      <c r="L4" s="306">
        <f>_xlfn.COVARIANCE.S(H6:H507,C6:C507)/_xlfn.VAR.S(C6:C507)</f>
        <v>2.1534718559053121</v>
      </c>
    </row>
    <row r="5" spans="1:12" x14ac:dyDescent="0.3">
      <c r="A5" s="299">
        <v>45947</v>
      </c>
      <c r="B5" s="300">
        <v>6664.01</v>
      </c>
      <c r="C5" s="122"/>
      <c r="D5" s="300"/>
      <c r="E5" s="300"/>
      <c r="F5" s="299">
        <v>45947</v>
      </c>
      <c r="G5" s="60">
        <v>183.22</v>
      </c>
      <c r="H5" s="212"/>
    </row>
    <row r="6" spans="1:12" ht="15.6" customHeight="1" x14ac:dyDescent="0.3">
      <c r="A6" s="299">
        <v>45946</v>
      </c>
      <c r="B6" s="300">
        <v>6629.07</v>
      </c>
      <c r="C6" s="179">
        <f t="shared" ref="C6:C69" si="0">B6/B5-1</f>
        <v>-5.2430893711145066E-3</v>
      </c>
      <c r="D6" s="179"/>
      <c r="E6" s="300"/>
      <c r="F6" s="299">
        <v>45946</v>
      </c>
      <c r="G6" s="14">
        <v>181.81</v>
      </c>
      <c r="H6" s="212">
        <f t="shared" ref="H6:H69" si="1">G6/G5-1</f>
        <v>-7.6956664119637308E-3</v>
      </c>
      <c r="K6" s="743" t="s">
        <v>658</v>
      </c>
      <c r="L6" s="700"/>
    </row>
    <row r="7" spans="1:12" x14ac:dyDescent="0.3">
      <c r="A7" s="299">
        <v>45945</v>
      </c>
      <c r="B7" s="300">
        <v>6671.06</v>
      </c>
      <c r="C7" s="179">
        <f t="shared" si="0"/>
        <v>6.3342218440898268E-3</v>
      </c>
      <c r="D7" s="179"/>
      <c r="E7" s="300"/>
      <c r="F7" s="299">
        <v>45945</v>
      </c>
      <c r="G7" s="14">
        <v>179.83</v>
      </c>
      <c r="H7" s="212">
        <f t="shared" si="1"/>
        <v>-1.0890490072053227E-2</v>
      </c>
      <c r="K7" t="s">
        <v>659</v>
      </c>
      <c r="L7" s="14">
        <f>L4</f>
        <v>2.1534718559053121</v>
      </c>
    </row>
    <row r="8" spans="1:12" x14ac:dyDescent="0.3">
      <c r="A8" s="299">
        <v>45944</v>
      </c>
      <c r="B8" s="300">
        <v>6644.31</v>
      </c>
      <c r="C8" s="179">
        <f t="shared" si="0"/>
        <v>-4.0098575039049233E-3</v>
      </c>
      <c r="D8" s="179"/>
      <c r="E8" s="300"/>
      <c r="F8" s="299">
        <v>45944</v>
      </c>
      <c r="G8" s="14">
        <v>180.03</v>
      </c>
      <c r="H8" s="212">
        <f t="shared" si="1"/>
        <v>1.1121614858475848E-3</v>
      </c>
      <c r="K8" t="s">
        <v>660</v>
      </c>
      <c r="L8" s="213">
        <v>0.67</v>
      </c>
    </row>
    <row r="9" spans="1:12" x14ac:dyDescent="0.3">
      <c r="A9" s="299">
        <v>45943</v>
      </c>
      <c r="B9" s="300">
        <v>6654.72</v>
      </c>
      <c r="C9" s="179">
        <f t="shared" si="0"/>
        <v>1.5667541099075866E-3</v>
      </c>
      <c r="D9" s="179"/>
      <c r="E9" s="300"/>
      <c r="F9" s="299">
        <v>45943</v>
      </c>
      <c r="G9" s="14">
        <v>188.32</v>
      </c>
      <c r="H9" s="212">
        <f t="shared" si="1"/>
        <v>4.604788090873746E-2</v>
      </c>
    </row>
    <row r="10" spans="1:12" x14ac:dyDescent="0.3">
      <c r="A10" s="299">
        <v>45940</v>
      </c>
      <c r="B10" s="300">
        <v>6552.51</v>
      </c>
      <c r="C10" s="179">
        <f t="shared" si="0"/>
        <v>-1.5359023369878821E-2</v>
      </c>
      <c r="D10" s="179"/>
      <c r="E10" s="300"/>
      <c r="F10" s="299">
        <v>45940</v>
      </c>
      <c r="G10" s="14">
        <v>183.16</v>
      </c>
      <c r="H10" s="212">
        <f t="shared" si="1"/>
        <v>-2.7400169923534445E-2</v>
      </c>
      <c r="K10" t="s">
        <v>661</v>
      </c>
      <c r="L10" s="303">
        <v>1</v>
      </c>
    </row>
    <row r="11" spans="1:12" x14ac:dyDescent="0.3">
      <c r="A11" s="299">
        <v>45939</v>
      </c>
      <c r="B11" s="300">
        <v>6735.11</v>
      </c>
      <c r="C11" s="179">
        <f t="shared" si="0"/>
        <v>2.7867183720436728E-2</v>
      </c>
      <c r="D11" s="179"/>
      <c r="E11" s="300"/>
      <c r="F11" s="299">
        <v>45939</v>
      </c>
      <c r="G11" s="14">
        <v>192.57</v>
      </c>
      <c r="H11" s="212">
        <f t="shared" si="1"/>
        <v>5.1375846254640756E-2</v>
      </c>
      <c r="K11" t="s">
        <v>662</v>
      </c>
      <c r="L11" s="213">
        <v>0.33</v>
      </c>
    </row>
    <row r="12" spans="1:12" x14ac:dyDescent="0.3">
      <c r="A12" s="299">
        <v>45938</v>
      </c>
      <c r="B12" s="300">
        <v>6753.72</v>
      </c>
      <c r="C12" s="179">
        <f t="shared" si="0"/>
        <v>2.7631323022192511E-3</v>
      </c>
      <c r="D12" s="179"/>
      <c r="E12" s="300"/>
      <c r="F12" s="299">
        <v>45938</v>
      </c>
      <c r="G12" s="14">
        <v>189.11</v>
      </c>
      <c r="H12" s="212">
        <f t="shared" si="1"/>
        <v>-1.7967492340447477E-2</v>
      </c>
    </row>
    <row r="13" spans="1:12" ht="15.6" customHeight="1" x14ac:dyDescent="0.3">
      <c r="A13" s="299">
        <v>45937</v>
      </c>
      <c r="B13" s="300">
        <v>6714.59</v>
      </c>
      <c r="C13" s="179">
        <f t="shared" si="0"/>
        <v>-5.7938439852407431E-3</v>
      </c>
      <c r="D13" s="179"/>
      <c r="E13" s="300"/>
      <c r="F13" s="299">
        <v>45937</v>
      </c>
      <c r="G13" s="14">
        <v>185.04</v>
      </c>
      <c r="H13" s="212">
        <f t="shared" si="1"/>
        <v>-2.1521865580878985E-2</v>
      </c>
      <c r="K13" s="304" t="s">
        <v>663</v>
      </c>
      <c r="L13" s="305">
        <f>(L7*L8)+(L10*L11)</f>
        <v>1.7728261434565593</v>
      </c>
    </row>
    <row r="14" spans="1:12" x14ac:dyDescent="0.3">
      <c r="A14" s="299">
        <v>45936</v>
      </c>
      <c r="B14" s="300">
        <v>6740.28</v>
      </c>
      <c r="C14" s="179">
        <f t="shared" si="0"/>
        <v>3.8259968218461449E-3</v>
      </c>
      <c r="D14" s="179"/>
      <c r="E14" s="300"/>
      <c r="F14" s="299">
        <v>45936</v>
      </c>
      <c r="G14" s="14">
        <v>185.54</v>
      </c>
      <c r="H14" s="212">
        <f t="shared" si="1"/>
        <v>2.7021184608733151E-3</v>
      </c>
    </row>
    <row r="15" spans="1:12" x14ac:dyDescent="0.3">
      <c r="A15" s="299">
        <v>45933</v>
      </c>
      <c r="B15" s="300">
        <v>6715.79</v>
      </c>
      <c r="C15" s="179">
        <f t="shared" si="0"/>
        <v>-3.6333802156586215E-3</v>
      </c>
      <c r="D15" s="179"/>
      <c r="E15" s="300"/>
      <c r="F15" s="299">
        <v>45933</v>
      </c>
      <c r="G15" s="14">
        <v>187.62</v>
      </c>
      <c r="H15" s="212">
        <f t="shared" si="1"/>
        <v>1.1210520642449096E-2</v>
      </c>
    </row>
    <row r="16" spans="1:12" x14ac:dyDescent="0.3">
      <c r="A16" s="299">
        <v>45932</v>
      </c>
      <c r="B16" s="300">
        <v>6715.35</v>
      </c>
      <c r="C16" s="179">
        <f t="shared" si="0"/>
        <v>-6.5517236244705401E-5</v>
      </c>
      <c r="D16" s="179"/>
      <c r="E16" s="300"/>
      <c r="F16" s="299">
        <v>45932</v>
      </c>
      <c r="G16" s="14">
        <v>188.89</v>
      </c>
      <c r="H16" s="212">
        <f t="shared" si="1"/>
        <v>6.7690011725827226E-3</v>
      </c>
    </row>
    <row r="17" spans="1:19" ht="15.6" customHeight="1" x14ac:dyDescent="0.3">
      <c r="A17" s="299">
        <v>45931</v>
      </c>
      <c r="B17" s="300">
        <v>6711.2</v>
      </c>
      <c r="C17" s="179">
        <f t="shared" si="0"/>
        <v>-6.1798714884564454E-4</v>
      </c>
      <c r="D17" s="300"/>
      <c r="E17" s="300"/>
      <c r="F17" s="299">
        <v>45931</v>
      </c>
      <c r="G17" s="14">
        <v>187.24</v>
      </c>
      <c r="H17" s="212">
        <f t="shared" si="1"/>
        <v>-8.7352427338661665E-3</v>
      </c>
      <c r="K17" s="30" t="s">
        <v>664</v>
      </c>
    </row>
    <row r="18" spans="1:19" ht="15" customHeight="1" thickBot="1" x14ac:dyDescent="0.35">
      <c r="A18" s="299">
        <v>45930</v>
      </c>
      <c r="B18" s="300">
        <v>6688.46</v>
      </c>
      <c r="C18" s="179">
        <f t="shared" si="0"/>
        <v>-3.3883657170102888E-3</v>
      </c>
      <c r="D18" s="300"/>
      <c r="E18" s="300"/>
      <c r="F18" s="299">
        <v>45930</v>
      </c>
      <c r="G18" s="14">
        <v>186.58</v>
      </c>
      <c r="H18" s="212">
        <f t="shared" si="1"/>
        <v>-3.5248878444776865E-3</v>
      </c>
    </row>
    <row r="19" spans="1:19" x14ac:dyDescent="0.3">
      <c r="A19" s="299">
        <v>45929</v>
      </c>
      <c r="B19" s="300">
        <v>6661.21</v>
      </c>
      <c r="C19" s="179">
        <f t="shared" si="0"/>
        <v>-4.0741815006742899E-3</v>
      </c>
      <c r="D19" s="300"/>
      <c r="E19" s="300"/>
      <c r="F19" s="299">
        <v>45929</v>
      </c>
      <c r="G19" s="14">
        <v>181.85</v>
      </c>
      <c r="H19" s="212">
        <f t="shared" si="1"/>
        <v>-2.5351055847357751E-2</v>
      </c>
      <c r="K19" s="315" t="s">
        <v>665</v>
      </c>
      <c r="L19" s="315"/>
    </row>
    <row r="20" spans="1:19" x14ac:dyDescent="0.3">
      <c r="A20" s="299">
        <v>45926</v>
      </c>
      <c r="B20" s="300">
        <v>6643.7</v>
      </c>
      <c r="C20" s="179">
        <f t="shared" si="0"/>
        <v>-2.6286515512947695E-3</v>
      </c>
      <c r="D20" s="300"/>
      <c r="E20" s="300"/>
      <c r="F20" s="299">
        <v>45926</v>
      </c>
      <c r="G20" s="14">
        <v>178.19</v>
      </c>
      <c r="H20" s="212">
        <f t="shared" si="1"/>
        <v>-2.0126477866373338E-2</v>
      </c>
      <c r="K20" t="s">
        <v>666</v>
      </c>
      <c r="L20">
        <v>0.6749042266526748</v>
      </c>
    </row>
    <row r="21" spans="1:19" x14ac:dyDescent="0.3">
      <c r="A21" s="299">
        <v>45925</v>
      </c>
      <c r="B21" s="300">
        <v>6604.72</v>
      </c>
      <c r="C21" s="179">
        <f t="shared" si="0"/>
        <v>-5.8672125472251091E-3</v>
      </c>
      <c r="D21" s="300"/>
      <c r="E21" s="300"/>
      <c r="F21" s="299">
        <v>45925</v>
      </c>
      <c r="G21" s="14">
        <v>177.69</v>
      </c>
      <c r="H21" s="212">
        <f t="shared" si="1"/>
        <v>-2.8059936023345777E-3</v>
      </c>
      <c r="K21" t="s">
        <v>667</v>
      </c>
      <c r="L21">
        <v>0.45549571515364512</v>
      </c>
    </row>
    <row r="22" spans="1:19" x14ac:dyDescent="0.3">
      <c r="A22" s="299">
        <v>45924</v>
      </c>
      <c r="B22" s="300">
        <v>6637.97</v>
      </c>
      <c r="C22" s="179">
        <f t="shared" si="0"/>
        <v>5.0342785159704917E-3</v>
      </c>
      <c r="D22" s="300"/>
      <c r="E22" s="300"/>
      <c r="F22" s="299">
        <v>45924</v>
      </c>
      <c r="G22" s="14">
        <v>176.97</v>
      </c>
      <c r="H22" s="212">
        <f t="shared" si="1"/>
        <v>-4.0520006753334004E-3</v>
      </c>
      <c r="K22" t="s">
        <v>668</v>
      </c>
      <c r="L22">
        <v>0.45440670658395238</v>
      </c>
    </row>
    <row r="23" spans="1:19" x14ac:dyDescent="0.3">
      <c r="A23" s="299">
        <v>45923</v>
      </c>
      <c r="B23" s="300">
        <v>6656.92</v>
      </c>
      <c r="C23" s="179">
        <f t="shared" si="0"/>
        <v>2.8547884368261833E-3</v>
      </c>
      <c r="D23" s="300"/>
      <c r="E23" s="300"/>
      <c r="F23" s="299">
        <v>45923</v>
      </c>
      <c r="G23" s="14">
        <v>178.43</v>
      </c>
      <c r="H23" s="212">
        <f t="shared" si="1"/>
        <v>8.249985873311827E-3</v>
      </c>
      <c r="K23" t="s">
        <v>669</v>
      </c>
      <c r="L23">
        <v>7.4014298593133949E-3</v>
      </c>
    </row>
    <row r="24" spans="1:19" ht="15" customHeight="1" thickBot="1" x14ac:dyDescent="0.35">
      <c r="A24" s="299">
        <v>45922</v>
      </c>
      <c r="B24" s="300">
        <v>6693.75</v>
      </c>
      <c r="C24" s="179">
        <f t="shared" si="0"/>
        <v>5.5325886445984906E-3</v>
      </c>
      <c r="D24" s="300"/>
      <c r="E24" s="300"/>
      <c r="F24" s="299">
        <v>45922</v>
      </c>
      <c r="G24" s="14">
        <v>183.61</v>
      </c>
      <c r="H24" s="212">
        <f t="shared" si="1"/>
        <v>2.9030992546096535E-2</v>
      </c>
      <c r="K24" s="301" t="s">
        <v>670</v>
      </c>
      <c r="L24" s="301">
        <v>502</v>
      </c>
    </row>
    <row r="25" spans="1:19" x14ac:dyDescent="0.3">
      <c r="A25" s="299">
        <v>45919</v>
      </c>
      <c r="B25" s="300">
        <v>6664.36</v>
      </c>
      <c r="C25" s="179">
        <f t="shared" si="0"/>
        <v>-4.3906629318394286E-3</v>
      </c>
      <c r="D25" s="300"/>
      <c r="E25" s="300"/>
      <c r="F25" s="299">
        <v>45919</v>
      </c>
      <c r="G25" s="14">
        <v>176.67</v>
      </c>
      <c r="H25" s="212">
        <f t="shared" si="1"/>
        <v>-3.7797505582484736E-2</v>
      </c>
    </row>
    <row r="26" spans="1:19" ht="15" customHeight="1" thickBot="1" x14ac:dyDescent="0.35">
      <c r="A26" s="299">
        <v>45918</v>
      </c>
      <c r="B26" s="300">
        <v>6631.96</v>
      </c>
      <c r="C26" s="179">
        <f t="shared" si="0"/>
        <v>-4.8616821420210954E-3</v>
      </c>
      <c r="D26" s="300"/>
      <c r="E26" s="300"/>
      <c r="F26" s="299">
        <v>45918</v>
      </c>
      <c r="G26" s="14">
        <v>176.24</v>
      </c>
      <c r="H26" s="212">
        <f t="shared" si="1"/>
        <v>-2.4339163412009368E-3</v>
      </c>
      <c r="K26" s="1" t="s">
        <v>671</v>
      </c>
    </row>
    <row r="27" spans="1:19" x14ac:dyDescent="0.3">
      <c r="A27" s="299">
        <v>45917</v>
      </c>
      <c r="B27" s="300">
        <v>6600.35</v>
      </c>
      <c r="C27" s="179">
        <f t="shared" si="0"/>
        <v>-4.766313427704616E-3</v>
      </c>
      <c r="D27" s="300"/>
      <c r="E27" s="300"/>
      <c r="F27" s="299">
        <v>45917</v>
      </c>
      <c r="G27" s="14">
        <v>170.29</v>
      </c>
      <c r="H27" s="212">
        <f t="shared" si="1"/>
        <v>-3.3760780753518072E-2</v>
      </c>
      <c r="K27" s="302"/>
      <c r="L27" s="302" t="s">
        <v>672</v>
      </c>
      <c r="M27" s="302" t="s">
        <v>673</v>
      </c>
      <c r="N27" s="302" t="s">
        <v>674</v>
      </c>
      <c r="O27" s="302" t="s">
        <v>675</v>
      </c>
      <c r="P27" s="302" t="s">
        <v>676</v>
      </c>
    </row>
    <row r="28" spans="1:19" x14ac:dyDescent="0.3">
      <c r="A28" s="299">
        <v>45916</v>
      </c>
      <c r="B28" s="300">
        <v>6606.76</v>
      </c>
      <c r="C28" s="179">
        <f t="shared" si="0"/>
        <v>9.7116062027002847E-4</v>
      </c>
      <c r="D28" s="300"/>
      <c r="E28" s="300"/>
      <c r="F28" s="299">
        <v>45916</v>
      </c>
      <c r="G28" s="14">
        <v>174.88</v>
      </c>
      <c r="H28" s="212">
        <f t="shared" si="1"/>
        <v>2.6954019613600444E-2</v>
      </c>
      <c r="K28" t="s">
        <v>677</v>
      </c>
      <c r="L28">
        <v>1</v>
      </c>
      <c r="M28">
        <v>2.2913121301712299E-2</v>
      </c>
      <c r="N28">
        <v>2.2913121301712299E-2</v>
      </c>
      <c r="O28">
        <v>418.26641941134972</v>
      </c>
      <c r="P28">
        <v>5.2758575203074509E-68</v>
      </c>
    </row>
    <row r="29" spans="1:19" x14ac:dyDescent="0.3">
      <c r="A29" s="299">
        <v>45915</v>
      </c>
      <c r="B29" s="300">
        <v>6615.28</v>
      </c>
      <c r="C29" s="179">
        <f t="shared" si="0"/>
        <v>1.2895882399239778E-3</v>
      </c>
      <c r="D29" s="300"/>
      <c r="E29" s="300"/>
      <c r="F29" s="299">
        <v>45915</v>
      </c>
      <c r="G29" s="14">
        <v>177.75</v>
      </c>
      <c r="H29" s="212">
        <f t="shared" si="1"/>
        <v>1.6411253430923978E-2</v>
      </c>
      <c r="K29" t="s">
        <v>678</v>
      </c>
      <c r="L29">
        <v>500</v>
      </c>
      <c r="M29">
        <v>2.739058198116795E-2</v>
      </c>
      <c r="N29">
        <v>5.4781163962335899E-5</v>
      </c>
    </row>
    <row r="30" spans="1:19" ht="15" customHeight="1" thickBot="1" x14ac:dyDescent="0.35">
      <c r="A30" s="299">
        <v>45912</v>
      </c>
      <c r="B30" s="300">
        <v>6584.29</v>
      </c>
      <c r="C30" s="179">
        <f t="shared" si="0"/>
        <v>-4.684608965909165E-3</v>
      </c>
      <c r="D30" s="300"/>
      <c r="E30" s="300"/>
      <c r="F30" s="299">
        <v>45912</v>
      </c>
      <c r="G30" s="14">
        <v>177.82</v>
      </c>
      <c r="H30" s="212">
        <f t="shared" si="1"/>
        <v>3.938115330519576E-4</v>
      </c>
      <c r="K30" s="301" t="s">
        <v>642</v>
      </c>
      <c r="L30" s="301">
        <v>501</v>
      </c>
      <c r="M30" s="301">
        <v>5.0303703282880252E-2</v>
      </c>
      <c r="N30" s="301"/>
      <c r="O30" s="301"/>
      <c r="P30" s="301"/>
    </row>
    <row r="31" spans="1:19" ht="15" customHeight="1" thickBot="1" x14ac:dyDescent="0.35">
      <c r="A31" s="299">
        <v>45911</v>
      </c>
      <c r="B31" s="300">
        <v>6587.47</v>
      </c>
      <c r="C31" s="179">
        <f t="shared" si="0"/>
        <v>4.8296779151590918E-4</v>
      </c>
      <c r="D31" s="300"/>
      <c r="E31" s="300"/>
      <c r="F31" s="299">
        <v>45911</v>
      </c>
      <c r="G31" s="14">
        <v>177.17</v>
      </c>
      <c r="H31" s="212">
        <f t="shared" si="1"/>
        <v>-3.6553818468114674E-3</v>
      </c>
    </row>
    <row r="32" spans="1:19" x14ac:dyDescent="0.3">
      <c r="A32" s="299">
        <v>45910</v>
      </c>
      <c r="B32" s="300">
        <v>6532.04</v>
      </c>
      <c r="C32" s="179">
        <f t="shared" si="0"/>
        <v>-8.4144595724914284E-3</v>
      </c>
      <c r="D32" s="300"/>
      <c r="E32" s="300"/>
      <c r="F32" s="299">
        <v>45910</v>
      </c>
      <c r="G32" s="14">
        <v>177.33</v>
      </c>
      <c r="H32" s="212">
        <f t="shared" si="1"/>
        <v>9.030874301518832E-4</v>
      </c>
      <c r="K32" s="302"/>
      <c r="L32" s="302" t="s">
        <v>679</v>
      </c>
      <c r="M32" s="302" t="s">
        <v>669</v>
      </c>
      <c r="N32" s="302" t="s">
        <v>680</v>
      </c>
      <c r="O32" s="302" t="s">
        <v>681</v>
      </c>
      <c r="P32" s="302" t="s">
        <v>682</v>
      </c>
      <c r="Q32" s="302" t="s">
        <v>683</v>
      </c>
      <c r="R32" s="302" t="s">
        <v>684</v>
      </c>
      <c r="S32" s="302" t="s">
        <v>685</v>
      </c>
    </row>
    <row r="33" spans="1:19" x14ac:dyDescent="0.3">
      <c r="A33" s="299">
        <v>45909</v>
      </c>
      <c r="B33" s="300">
        <v>6512.61</v>
      </c>
      <c r="C33" s="179">
        <f t="shared" si="0"/>
        <v>-2.9745684349758994E-3</v>
      </c>
      <c r="D33" s="300"/>
      <c r="E33" s="300"/>
      <c r="F33" s="299">
        <v>45909</v>
      </c>
      <c r="G33" s="14">
        <v>170.76</v>
      </c>
      <c r="H33" s="212">
        <f t="shared" si="1"/>
        <v>-3.7049568600913685E-2</v>
      </c>
      <c r="K33" t="s">
        <v>686</v>
      </c>
      <c r="L33">
        <v>-2.9513189434359958E-4</v>
      </c>
      <c r="M33">
        <v>3.3122166705247172E-4</v>
      </c>
      <c r="N33">
        <v>-0.8910404230797051</v>
      </c>
      <c r="O33">
        <v>0.37333604724994401</v>
      </c>
      <c r="P33">
        <v>-9.4588967420060148E-4</v>
      </c>
      <c r="Q33">
        <v>3.5562588551340223E-4</v>
      </c>
      <c r="R33">
        <v>-9.4588967420060148E-4</v>
      </c>
      <c r="S33">
        <v>3.5562588551340223E-4</v>
      </c>
    </row>
    <row r="34" spans="1:19" ht="15" customHeight="1" thickBot="1" x14ac:dyDescent="0.35">
      <c r="A34" s="299">
        <v>45908</v>
      </c>
      <c r="B34" s="300">
        <v>6495.15</v>
      </c>
      <c r="C34" s="179">
        <f t="shared" si="0"/>
        <v>-2.6809527977262881E-3</v>
      </c>
      <c r="D34" s="300"/>
      <c r="E34" s="300"/>
      <c r="F34" s="299">
        <v>45908</v>
      </c>
      <c r="G34" s="14">
        <v>168.31</v>
      </c>
      <c r="H34" s="212">
        <f t="shared" si="1"/>
        <v>-1.4347622394003223E-2</v>
      </c>
      <c r="K34" s="301" t="s">
        <v>687</v>
      </c>
      <c r="L34" s="301">
        <v>0.2115169111240397</v>
      </c>
      <c r="M34" s="301">
        <v>1.034233489072081E-2</v>
      </c>
      <c r="N34" s="301">
        <v>20.451562762081281</v>
      </c>
      <c r="O34" s="301">
        <v>5.2758575203077524E-68</v>
      </c>
      <c r="P34" s="301">
        <v>0.1911971205985096</v>
      </c>
      <c r="Q34" s="301">
        <v>0.23183670164956979</v>
      </c>
      <c r="R34" s="301">
        <v>0.1911971205985096</v>
      </c>
      <c r="S34" s="301">
        <v>0.23183670164956979</v>
      </c>
    </row>
    <row r="35" spans="1:19" x14ac:dyDescent="0.3">
      <c r="A35" s="299">
        <v>45905</v>
      </c>
      <c r="B35" s="300">
        <v>6481.5</v>
      </c>
      <c r="C35" s="179">
        <f t="shared" si="0"/>
        <v>-2.1015680931155689E-3</v>
      </c>
      <c r="D35" s="300"/>
      <c r="E35" s="300"/>
      <c r="F35" s="299">
        <v>45905</v>
      </c>
      <c r="G35" s="14">
        <v>167.02</v>
      </c>
      <c r="H35" s="212">
        <f t="shared" si="1"/>
        <v>-7.6644287326955718E-3</v>
      </c>
    </row>
    <row r="36" spans="1:19" x14ac:dyDescent="0.3">
      <c r="A36" s="299">
        <v>45904</v>
      </c>
      <c r="B36" s="300">
        <v>6502.08</v>
      </c>
      <c r="C36" s="179">
        <f t="shared" si="0"/>
        <v>3.1751909280259838E-3</v>
      </c>
      <c r="D36" s="300"/>
      <c r="E36" s="300"/>
      <c r="F36" s="299">
        <v>45904</v>
      </c>
      <c r="G36" s="14">
        <v>171.66</v>
      </c>
      <c r="H36" s="212">
        <f t="shared" si="1"/>
        <v>2.7781104059394046E-2</v>
      </c>
    </row>
    <row r="37" spans="1:19" x14ac:dyDescent="0.3">
      <c r="A37" s="299">
        <v>45903</v>
      </c>
      <c r="B37" s="300">
        <v>6448.26</v>
      </c>
      <c r="C37" s="179">
        <f t="shared" si="0"/>
        <v>-8.2773512476007616E-3</v>
      </c>
      <c r="D37" s="300"/>
      <c r="E37" s="300"/>
      <c r="F37" s="299">
        <v>45903</v>
      </c>
      <c r="G37" s="14">
        <v>170.62</v>
      </c>
      <c r="H37" s="212">
        <f t="shared" si="1"/>
        <v>-6.0584877082604516E-3</v>
      </c>
    </row>
    <row r="38" spans="1:19" x14ac:dyDescent="0.3">
      <c r="A38" s="299">
        <v>45902</v>
      </c>
      <c r="B38" s="300">
        <v>6415.54</v>
      </c>
      <c r="C38" s="179">
        <f t="shared" si="0"/>
        <v>-5.0742370810110682E-3</v>
      </c>
      <c r="D38" s="300"/>
      <c r="E38" s="300"/>
      <c r="F38" s="299">
        <v>45902</v>
      </c>
      <c r="G38" s="14">
        <v>170.78</v>
      </c>
      <c r="H38" s="212">
        <f t="shared" si="1"/>
        <v>9.3775641777038565E-4</v>
      </c>
    </row>
    <row r="39" spans="1:19" x14ac:dyDescent="0.3">
      <c r="A39" s="299">
        <v>45898</v>
      </c>
      <c r="B39" s="300">
        <v>6460.26</v>
      </c>
      <c r="C39" s="179">
        <f t="shared" si="0"/>
        <v>6.9705745736134972E-3</v>
      </c>
      <c r="D39" s="300"/>
      <c r="E39" s="300"/>
      <c r="F39" s="299">
        <v>45898</v>
      </c>
      <c r="G39" s="14">
        <v>174.18</v>
      </c>
      <c r="H39" s="212">
        <f t="shared" si="1"/>
        <v>1.9908654409181326E-2</v>
      </c>
    </row>
    <row r="40" spans="1:19" x14ac:dyDescent="0.3">
      <c r="A40" s="299">
        <v>45897</v>
      </c>
      <c r="B40" s="300">
        <v>6501.86</v>
      </c>
      <c r="C40" s="179">
        <f t="shared" si="0"/>
        <v>6.439369313309351E-3</v>
      </c>
      <c r="D40" s="300"/>
      <c r="E40" s="300"/>
      <c r="F40" s="299">
        <v>45897</v>
      </c>
      <c r="G40" s="14">
        <v>180.17</v>
      </c>
      <c r="H40" s="212">
        <f t="shared" si="1"/>
        <v>3.4389711792398581E-2</v>
      </c>
    </row>
    <row r="41" spans="1:19" x14ac:dyDescent="0.3">
      <c r="A41" s="299">
        <v>45896</v>
      </c>
      <c r="B41" s="300">
        <v>6481.4</v>
      </c>
      <c r="C41" s="179">
        <f t="shared" si="0"/>
        <v>-3.1467918411038909E-3</v>
      </c>
      <c r="D41" s="300"/>
      <c r="E41" s="300"/>
      <c r="F41" s="299">
        <v>45896</v>
      </c>
      <c r="G41" s="14">
        <v>181.6</v>
      </c>
      <c r="H41" s="212">
        <f t="shared" si="1"/>
        <v>7.9369484375868549E-3</v>
      </c>
    </row>
    <row r="42" spans="1:19" x14ac:dyDescent="0.3">
      <c r="A42" s="299">
        <v>45895</v>
      </c>
      <c r="B42" s="300">
        <v>6465.94</v>
      </c>
      <c r="C42" s="179">
        <f t="shared" si="0"/>
        <v>-2.3852871293239541E-3</v>
      </c>
      <c r="D42" s="300"/>
      <c r="E42" s="300"/>
      <c r="F42" s="299">
        <v>45895</v>
      </c>
      <c r="G42" s="14">
        <v>181.77</v>
      </c>
      <c r="H42" s="212">
        <f t="shared" si="1"/>
        <v>9.3612334801762564E-4</v>
      </c>
    </row>
    <row r="43" spans="1:19" x14ac:dyDescent="0.3">
      <c r="A43" s="299">
        <v>45894</v>
      </c>
      <c r="B43" s="300">
        <v>6439.32</v>
      </c>
      <c r="C43" s="179">
        <f t="shared" si="0"/>
        <v>-4.1169574725407054E-3</v>
      </c>
      <c r="D43" s="300"/>
      <c r="E43" s="300"/>
      <c r="F43" s="299">
        <v>45894</v>
      </c>
      <c r="G43" s="14">
        <v>179.81</v>
      </c>
      <c r="H43" s="212">
        <f t="shared" si="1"/>
        <v>-1.078285745722618E-2</v>
      </c>
    </row>
    <row r="44" spans="1:19" x14ac:dyDescent="0.3">
      <c r="A44" s="299">
        <v>45891</v>
      </c>
      <c r="B44" s="300">
        <v>6466.91</v>
      </c>
      <c r="C44" s="179">
        <f t="shared" si="0"/>
        <v>4.2846139033314579E-3</v>
      </c>
      <c r="D44" s="300"/>
      <c r="E44" s="300"/>
      <c r="F44" s="299">
        <v>45891</v>
      </c>
      <c r="G44" s="14">
        <v>177.99</v>
      </c>
      <c r="H44" s="212">
        <f t="shared" si="1"/>
        <v>-1.0121795228296482E-2</v>
      </c>
    </row>
    <row r="45" spans="1:19" x14ac:dyDescent="0.3">
      <c r="A45" s="299">
        <v>45890</v>
      </c>
      <c r="B45" s="300">
        <v>6370.17</v>
      </c>
      <c r="C45" s="179">
        <f t="shared" si="0"/>
        <v>-1.4959230915537636E-2</v>
      </c>
      <c r="D45" s="300"/>
      <c r="E45" s="300"/>
      <c r="F45" s="299">
        <v>45890</v>
      </c>
      <c r="G45" s="14">
        <v>174.98</v>
      </c>
      <c r="H45" s="212">
        <f t="shared" si="1"/>
        <v>-1.6911062419237122E-2</v>
      </c>
    </row>
    <row r="46" spans="1:19" x14ac:dyDescent="0.3">
      <c r="A46" s="299">
        <v>45889</v>
      </c>
      <c r="B46" s="300">
        <v>6395.78</v>
      </c>
      <c r="C46" s="179">
        <f t="shared" si="0"/>
        <v>4.0203008710912869E-3</v>
      </c>
      <c r="D46" s="300"/>
      <c r="E46" s="300"/>
      <c r="F46" s="299">
        <v>45889</v>
      </c>
      <c r="G46" s="14">
        <v>175.4</v>
      </c>
      <c r="H46" s="212">
        <f t="shared" si="1"/>
        <v>2.4002743170647989E-3</v>
      </c>
    </row>
    <row r="47" spans="1:19" x14ac:dyDescent="0.3">
      <c r="A47" s="299">
        <v>45888</v>
      </c>
      <c r="B47" s="300">
        <v>6411.37</v>
      </c>
      <c r="C47" s="179">
        <f t="shared" si="0"/>
        <v>2.4375447560736063E-3</v>
      </c>
      <c r="D47" s="300"/>
      <c r="E47" s="300"/>
      <c r="F47" s="299">
        <v>45888</v>
      </c>
      <c r="G47" s="14">
        <v>175.64</v>
      </c>
      <c r="H47" s="212">
        <f t="shared" si="1"/>
        <v>1.36830102622576E-3</v>
      </c>
    </row>
    <row r="48" spans="1:19" x14ac:dyDescent="0.3">
      <c r="A48" s="299">
        <v>45887</v>
      </c>
      <c r="B48" s="300">
        <v>6449.15</v>
      </c>
      <c r="C48" s="179">
        <f t="shared" si="0"/>
        <v>5.8926563277426069E-3</v>
      </c>
      <c r="D48" s="300"/>
      <c r="E48" s="300"/>
      <c r="F48" s="299">
        <v>45887</v>
      </c>
      <c r="G48" s="14">
        <v>182.01</v>
      </c>
      <c r="H48" s="212">
        <f t="shared" si="1"/>
        <v>3.6267365064905466E-2</v>
      </c>
    </row>
    <row r="49" spans="1:8" x14ac:dyDescent="0.3">
      <c r="A49" s="299">
        <v>45884</v>
      </c>
      <c r="B49" s="300">
        <v>6449.8</v>
      </c>
      <c r="C49" s="179">
        <f t="shared" si="0"/>
        <v>1.0078847600070162E-4</v>
      </c>
      <c r="D49" s="300"/>
      <c r="E49" s="300"/>
      <c r="F49" s="299">
        <v>45884</v>
      </c>
      <c r="G49" s="14">
        <v>180.45</v>
      </c>
      <c r="H49" s="212">
        <f t="shared" si="1"/>
        <v>-8.5709576396901799E-3</v>
      </c>
    </row>
    <row r="50" spans="1:8" x14ac:dyDescent="0.3">
      <c r="A50" s="299">
        <v>45883</v>
      </c>
      <c r="B50" s="300">
        <v>6468.54</v>
      </c>
      <c r="C50" s="179">
        <f t="shared" si="0"/>
        <v>2.9055164501223807E-3</v>
      </c>
      <c r="D50" s="300"/>
      <c r="E50" s="300"/>
      <c r="F50" s="299">
        <v>45883</v>
      </c>
      <c r="G50" s="14">
        <v>182.02</v>
      </c>
      <c r="H50" s="212">
        <f t="shared" si="1"/>
        <v>8.7004710446108025E-3</v>
      </c>
    </row>
    <row r="51" spans="1:8" x14ac:dyDescent="0.3">
      <c r="A51" s="299">
        <v>45882</v>
      </c>
      <c r="B51" s="300">
        <v>6466.58</v>
      </c>
      <c r="C51" s="179">
        <f t="shared" si="0"/>
        <v>-3.0300500576641021E-4</v>
      </c>
      <c r="D51" s="300"/>
      <c r="E51" s="300"/>
      <c r="F51" s="299">
        <v>45882</v>
      </c>
      <c r="G51" s="14">
        <v>181.59</v>
      </c>
      <c r="H51" s="212">
        <f t="shared" si="1"/>
        <v>-2.3623777606857077E-3</v>
      </c>
    </row>
    <row r="52" spans="1:8" x14ac:dyDescent="0.3">
      <c r="A52" s="299">
        <v>45881</v>
      </c>
      <c r="B52" s="300">
        <v>6445.76</v>
      </c>
      <c r="C52" s="179">
        <f t="shared" si="0"/>
        <v>-3.2196307785568035E-3</v>
      </c>
      <c r="D52" s="300"/>
      <c r="E52" s="300"/>
      <c r="F52" s="299">
        <v>45881</v>
      </c>
      <c r="G52" s="14">
        <v>183.16</v>
      </c>
      <c r="H52" s="212">
        <f t="shared" si="1"/>
        <v>8.6458505424307219E-3</v>
      </c>
    </row>
    <row r="53" spans="1:8" x14ac:dyDescent="0.3">
      <c r="A53" s="299">
        <v>45880</v>
      </c>
      <c r="B53" s="300">
        <v>6373.45</v>
      </c>
      <c r="C53" s="179">
        <f t="shared" si="0"/>
        <v>-1.1218227175693873E-2</v>
      </c>
      <c r="D53" s="300"/>
      <c r="E53" s="300"/>
      <c r="F53" s="299">
        <v>45880</v>
      </c>
      <c r="G53" s="14">
        <v>182.06</v>
      </c>
      <c r="H53" s="212">
        <f t="shared" si="1"/>
        <v>-6.005678095653999E-3</v>
      </c>
    </row>
    <row r="54" spans="1:8" x14ac:dyDescent="0.3">
      <c r="A54" s="299">
        <v>45877</v>
      </c>
      <c r="B54" s="300">
        <v>6389.45</v>
      </c>
      <c r="C54" s="179">
        <f t="shared" si="0"/>
        <v>2.5104142968093157E-3</v>
      </c>
      <c r="D54" s="300"/>
      <c r="E54" s="300"/>
      <c r="F54" s="299">
        <v>45877</v>
      </c>
      <c r="G54" s="14">
        <v>182.7</v>
      </c>
      <c r="H54" s="212">
        <f t="shared" si="1"/>
        <v>3.5153246182575426E-3</v>
      </c>
    </row>
    <row r="55" spans="1:8" x14ac:dyDescent="0.3">
      <c r="A55" s="299">
        <v>45876</v>
      </c>
      <c r="B55" s="300">
        <v>6340</v>
      </c>
      <c r="C55" s="179">
        <f t="shared" si="0"/>
        <v>-7.739320285783613E-3</v>
      </c>
      <c r="D55" s="300"/>
      <c r="E55" s="300"/>
      <c r="F55" s="299">
        <v>45876</v>
      </c>
      <c r="G55" s="14">
        <v>180.77</v>
      </c>
      <c r="H55" s="212">
        <f t="shared" si="1"/>
        <v>-1.0563765736179453E-2</v>
      </c>
    </row>
    <row r="56" spans="1:8" x14ac:dyDescent="0.3">
      <c r="A56" s="299">
        <v>45875</v>
      </c>
      <c r="B56" s="300">
        <v>6345.06</v>
      </c>
      <c r="C56" s="179">
        <f t="shared" si="0"/>
        <v>7.9810725552054151E-4</v>
      </c>
      <c r="D56" s="300"/>
      <c r="E56" s="300"/>
      <c r="F56" s="299">
        <v>45875</v>
      </c>
      <c r="G56" s="14">
        <v>179.42</v>
      </c>
      <c r="H56" s="212">
        <f t="shared" si="1"/>
        <v>-7.4680533274327221E-3</v>
      </c>
    </row>
    <row r="57" spans="1:8" x14ac:dyDescent="0.3">
      <c r="A57" s="299">
        <v>45874</v>
      </c>
      <c r="B57" s="300">
        <v>6299.19</v>
      </c>
      <c r="C57" s="179">
        <f t="shared" si="0"/>
        <v>-7.229246059138994E-3</v>
      </c>
      <c r="D57" s="300"/>
      <c r="E57" s="300"/>
      <c r="F57" s="299">
        <v>45874</v>
      </c>
      <c r="G57" s="14">
        <v>178.26</v>
      </c>
      <c r="H57" s="212">
        <f t="shared" si="1"/>
        <v>-6.4652770036784935E-3</v>
      </c>
    </row>
    <row r="58" spans="1:8" x14ac:dyDescent="0.3">
      <c r="A58" s="299">
        <v>45873</v>
      </c>
      <c r="B58" s="300">
        <v>6329.94</v>
      </c>
      <c r="C58" s="179">
        <f t="shared" si="0"/>
        <v>4.8815800126682518E-3</v>
      </c>
      <c r="D58" s="300"/>
      <c r="E58" s="300"/>
      <c r="F58" s="299">
        <v>45873</v>
      </c>
      <c r="G58" s="14">
        <v>180</v>
      </c>
      <c r="H58" s="212">
        <f t="shared" si="1"/>
        <v>9.7610232245035622E-3</v>
      </c>
    </row>
    <row r="59" spans="1:8" x14ac:dyDescent="0.3">
      <c r="A59" s="299">
        <v>45870</v>
      </c>
      <c r="B59" s="300">
        <v>6238.01</v>
      </c>
      <c r="C59" s="179">
        <f t="shared" si="0"/>
        <v>-1.4523044452237954E-2</v>
      </c>
      <c r="D59" s="300"/>
      <c r="E59" s="300"/>
      <c r="F59" s="299">
        <v>45870</v>
      </c>
      <c r="G59" s="14">
        <v>173.72</v>
      </c>
      <c r="H59" s="212">
        <f t="shared" si="1"/>
        <v>-3.4888888888888858E-2</v>
      </c>
    </row>
    <row r="60" spans="1:8" x14ac:dyDescent="0.3">
      <c r="A60" s="299">
        <v>45869</v>
      </c>
      <c r="B60" s="300">
        <v>6339.39</v>
      </c>
      <c r="C60" s="179">
        <f t="shared" si="0"/>
        <v>1.6251977794200512E-2</v>
      </c>
      <c r="D60" s="300"/>
      <c r="E60" s="300"/>
      <c r="F60" s="299">
        <v>45869</v>
      </c>
      <c r="G60" s="14">
        <v>177.87</v>
      </c>
      <c r="H60" s="212">
        <f t="shared" si="1"/>
        <v>2.3889016808657626E-2</v>
      </c>
    </row>
    <row r="61" spans="1:8" x14ac:dyDescent="0.3">
      <c r="A61" s="299">
        <v>45868</v>
      </c>
      <c r="B61" s="300">
        <v>6362.9</v>
      </c>
      <c r="C61" s="179">
        <f t="shared" si="0"/>
        <v>3.7085587099072725E-3</v>
      </c>
      <c r="D61" s="300"/>
      <c r="E61" s="300"/>
      <c r="F61" s="299">
        <v>45868</v>
      </c>
      <c r="G61" s="14">
        <v>179.27</v>
      </c>
      <c r="H61" s="212">
        <f t="shared" si="1"/>
        <v>7.8709169618260688E-3</v>
      </c>
    </row>
    <row r="62" spans="1:8" x14ac:dyDescent="0.3">
      <c r="A62" s="299">
        <v>45867</v>
      </c>
      <c r="B62" s="300">
        <v>6370.86</v>
      </c>
      <c r="C62" s="179">
        <f t="shared" si="0"/>
        <v>1.2510019016487295E-3</v>
      </c>
      <c r="D62" s="300"/>
      <c r="E62" s="300"/>
      <c r="F62" s="299">
        <v>45867</v>
      </c>
      <c r="G62" s="14">
        <v>175.51</v>
      </c>
      <c r="H62" s="212">
        <f t="shared" si="1"/>
        <v>-2.0973949907960199E-2</v>
      </c>
    </row>
    <row r="63" spans="1:8" x14ac:dyDescent="0.3">
      <c r="A63" s="299">
        <v>45866</v>
      </c>
      <c r="B63" s="300">
        <v>6389.77</v>
      </c>
      <c r="C63" s="179">
        <f t="shared" si="0"/>
        <v>2.9682020951646848E-3</v>
      </c>
      <c r="D63" s="300"/>
      <c r="E63" s="300"/>
      <c r="F63" s="299">
        <v>45866</v>
      </c>
      <c r="G63" s="14">
        <v>176.75</v>
      </c>
      <c r="H63" s="212">
        <f t="shared" si="1"/>
        <v>7.0651244943309433E-3</v>
      </c>
    </row>
    <row r="64" spans="1:8" x14ac:dyDescent="0.3">
      <c r="A64" s="299">
        <v>45863</v>
      </c>
      <c r="B64" s="300">
        <v>6388.64</v>
      </c>
      <c r="C64" s="179">
        <f t="shared" si="0"/>
        <v>-1.7684517596094906E-4</v>
      </c>
      <c r="D64" s="300"/>
      <c r="E64" s="300"/>
      <c r="F64" s="299">
        <v>45863</v>
      </c>
      <c r="G64" s="14">
        <v>173.5</v>
      </c>
      <c r="H64" s="212">
        <f t="shared" si="1"/>
        <v>-1.8387553041018356E-2</v>
      </c>
    </row>
    <row r="65" spans="1:8" x14ac:dyDescent="0.3">
      <c r="A65" s="299">
        <v>45862</v>
      </c>
      <c r="B65" s="300">
        <v>6363.35</v>
      </c>
      <c r="C65" s="179">
        <f t="shared" si="0"/>
        <v>-3.9585889954669717E-3</v>
      </c>
      <c r="D65" s="300"/>
      <c r="E65" s="300"/>
      <c r="F65" s="299">
        <v>45862</v>
      </c>
      <c r="G65" s="14">
        <v>173.74</v>
      </c>
      <c r="H65" s="212">
        <f t="shared" si="1"/>
        <v>1.3832853025936842E-3</v>
      </c>
    </row>
    <row r="66" spans="1:8" x14ac:dyDescent="0.3">
      <c r="A66" s="299">
        <v>45861</v>
      </c>
      <c r="B66" s="300">
        <v>6358.91</v>
      </c>
      <c r="C66" s="179">
        <f t="shared" si="0"/>
        <v>-6.9774568427016792E-4</v>
      </c>
      <c r="D66" s="300"/>
      <c r="E66" s="300"/>
      <c r="F66" s="299">
        <v>45861</v>
      </c>
      <c r="G66" s="14">
        <v>170.78</v>
      </c>
      <c r="H66" s="212">
        <f t="shared" si="1"/>
        <v>-1.7036951767008257E-2</v>
      </c>
    </row>
    <row r="67" spans="1:8" x14ac:dyDescent="0.3">
      <c r="A67" s="299">
        <v>45860</v>
      </c>
      <c r="B67" s="300">
        <v>6309.62</v>
      </c>
      <c r="C67" s="179">
        <f t="shared" si="0"/>
        <v>-7.7513284509451719E-3</v>
      </c>
      <c r="D67" s="300"/>
      <c r="E67" s="300"/>
      <c r="F67" s="299">
        <v>45860</v>
      </c>
      <c r="G67" s="14">
        <v>167.03</v>
      </c>
      <c r="H67" s="212">
        <f t="shared" si="1"/>
        <v>-2.1958074716008857E-2</v>
      </c>
    </row>
    <row r="68" spans="1:8" x14ac:dyDescent="0.3">
      <c r="A68" s="299">
        <v>45859</v>
      </c>
      <c r="B68" s="300">
        <v>6305.6</v>
      </c>
      <c r="C68" s="179">
        <f t="shared" si="0"/>
        <v>-6.3712236236090902E-4</v>
      </c>
      <c r="D68" s="300"/>
      <c r="E68" s="300"/>
      <c r="F68" s="299">
        <v>45859</v>
      </c>
      <c r="G68" s="14">
        <v>171.38</v>
      </c>
      <c r="H68" s="212">
        <f t="shared" si="1"/>
        <v>2.6043225767826028E-2</v>
      </c>
    </row>
    <row r="69" spans="1:8" x14ac:dyDescent="0.3">
      <c r="A69" s="299">
        <v>45856</v>
      </c>
      <c r="B69" s="300">
        <v>6296.79</v>
      </c>
      <c r="C69" s="179">
        <f t="shared" si="0"/>
        <v>-1.3971707688404944E-3</v>
      </c>
      <c r="D69" s="300"/>
      <c r="E69" s="300"/>
      <c r="F69" s="299">
        <v>45856</v>
      </c>
      <c r="G69" s="14">
        <v>172.41</v>
      </c>
      <c r="H69" s="212">
        <f t="shared" si="1"/>
        <v>6.0100361769168664E-3</v>
      </c>
    </row>
    <row r="70" spans="1:8" x14ac:dyDescent="0.3">
      <c r="A70" s="299">
        <v>45855</v>
      </c>
      <c r="B70" s="300">
        <v>6297.36</v>
      </c>
      <c r="C70" s="179">
        <f t="shared" ref="C70:C133" si="2">B70/B69-1</f>
        <v>9.0522313750396322E-5</v>
      </c>
      <c r="D70" s="300"/>
      <c r="E70" s="300"/>
      <c r="F70" s="299">
        <v>45855</v>
      </c>
      <c r="G70" s="14">
        <v>173</v>
      </c>
      <c r="H70" s="212">
        <f t="shared" ref="H70:H133" si="3">G70/G69-1</f>
        <v>3.4220752856564118E-3</v>
      </c>
    </row>
    <row r="71" spans="1:8" x14ac:dyDescent="0.3">
      <c r="A71" s="299">
        <v>45854</v>
      </c>
      <c r="B71" s="300">
        <v>6263.7</v>
      </c>
      <c r="C71" s="179">
        <f t="shared" si="2"/>
        <v>-5.3450969930256553E-3</v>
      </c>
      <c r="D71" s="300"/>
      <c r="E71" s="300"/>
      <c r="F71" s="299">
        <v>45854</v>
      </c>
      <c r="G71" s="14">
        <v>171.37</v>
      </c>
      <c r="H71" s="212">
        <f t="shared" si="3"/>
        <v>-9.4219653179190566E-3</v>
      </c>
    </row>
    <row r="72" spans="1:8" x14ac:dyDescent="0.3">
      <c r="A72" s="299">
        <v>45853</v>
      </c>
      <c r="B72" s="300">
        <v>6243.76</v>
      </c>
      <c r="C72" s="179">
        <f t="shared" si="2"/>
        <v>-3.1834219391093654E-3</v>
      </c>
      <c r="D72" s="300"/>
      <c r="E72" s="300"/>
      <c r="F72" s="299">
        <v>45853</v>
      </c>
      <c r="G72" s="14">
        <v>170.7</v>
      </c>
      <c r="H72" s="212">
        <f t="shared" si="3"/>
        <v>-3.9096691369552294E-3</v>
      </c>
    </row>
    <row r="73" spans="1:8" x14ac:dyDescent="0.3">
      <c r="A73" s="299">
        <v>45852</v>
      </c>
      <c r="B73" s="300">
        <v>6268.56</v>
      </c>
      <c r="C73" s="179">
        <f t="shared" si="2"/>
        <v>3.9719656104655332E-3</v>
      </c>
      <c r="D73" s="300"/>
      <c r="E73" s="300"/>
      <c r="F73" s="299">
        <v>45852</v>
      </c>
      <c r="G73" s="14">
        <v>164.07</v>
      </c>
      <c r="H73" s="212">
        <f t="shared" si="3"/>
        <v>-3.8840070298769791E-2</v>
      </c>
    </row>
    <row r="74" spans="1:8" x14ac:dyDescent="0.3">
      <c r="A74" s="299">
        <v>45849</v>
      </c>
      <c r="B74" s="300">
        <v>6259.75</v>
      </c>
      <c r="C74" s="179">
        <f t="shared" si="2"/>
        <v>-1.4054264456271337E-3</v>
      </c>
      <c r="D74" s="300"/>
      <c r="E74" s="300"/>
      <c r="F74" s="299">
        <v>45849</v>
      </c>
      <c r="G74" s="14">
        <v>164.92</v>
      </c>
      <c r="H74" s="212">
        <f t="shared" si="3"/>
        <v>5.1807155482415101E-3</v>
      </c>
    </row>
    <row r="75" spans="1:8" x14ac:dyDescent="0.3">
      <c r="A75" s="299">
        <v>45848</v>
      </c>
      <c r="B75" s="300">
        <v>6280.46</v>
      </c>
      <c r="C75" s="179">
        <f t="shared" si="2"/>
        <v>3.3084388354167604E-3</v>
      </c>
      <c r="D75" s="300"/>
      <c r="E75" s="300"/>
      <c r="F75" s="299">
        <v>45848</v>
      </c>
      <c r="G75" s="14">
        <v>164.1</v>
      </c>
      <c r="H75" s="212">
        <f t="shared" si="3"/>
        <v>-4.972107688576255E-3</v>
      </c>
    </row>
    <row r="76" spans="1:8" x14ac:dyDescent="0.3">
      <c r="A76" s="299">
        <v>45847</v>
      </c>
      <c r="B76" s="300">
        <v>6263.26</v>
      </c>
      <c r="C76" s="179">
        <f t="shared" si="2"/>
        <v>-2.7386529012205507E-3</v>
      </c>
      <c r="D76" s="300"/>
      <c r="E76" s="300"/>
      <c r="F76" s="299">
        <v>45847</v>
      </c>
      <c r="G76" s="14">
        <v>162.88</v>
      </c>
      <c r="H76" s="212">
        <f t="shared" si="3"/>
        <v>-7.4344911639244726E-3</v>
      </c>
    </row>
    <row r="77" spans="1:8" x14ac:dyDescent="0.3">
      <c r="A77" s="299">
        <v>45846</v>
      </c>
      <c r="B77" s="300">
        <v>6225.52</v>
      </c>
      <c r="C77" s="179">
        <f t="shared" si="2"/>
        <v>-6.0256160529819081E-3</v>
      </c>
      <c r="D77" s="300"/>
      <c r="E77" s="300"/>
      <c r="F77" s="299">
        <v>45846</v>
      </c>
      <c r="G77" s="14">
        <v>160</v>
      </c>
      <c r="H77" s="212">
        <f t="shared" si="3"/>
        <v>-1.7681728880157177E-2</v>
      </c>
    </row>
    <row r="78" spans="1:8" x14ac:dyDescent="0.3">
      <c r="A78" s="299">
        <v>45845</v>
      </c>
      <c r="B78" s="300">
        <v>6229.98</v>
      </c>
      <c r="C78" s="179">
        <f t="shared" si="2"/>
        <v>7.164060190953947E-4</v>
      </c>
      <c r="D78" s="300"/>
      <c r="E78" s="300"/>
      <c r="F78" s="299">
        <v>45845</v>
      </c>
      <c r="G78" s="14">
        <v>158.24</v>
      </c>
      <c r="H78" s="212">
        <f t="shared" si="3"/>
        <v>-1.0999999999999899E-2</v>
      </c>
    </row>
    <row r="79" spans="1:8" x14ac:dyDescent="0.3">
      <c r="A79" s="299">
        <v>45841</v>
      </c>
      <c r="B79" s="300">
        <v>6279.35</v>
      </c>
      <c r="C79" s="179">
        <f t="shared" si="2"/>
        <v>7.9245840275572466E-3</v>
      </c>
      <c r="D79" s="300"/>
      <c r="E79" s="300"/>
      <c r="F79" s="299">
        <v>45841</v>
      </c>
      <c r="G79" s="14">
        <v>159.34</v>
      </c>
      <c r="H79" s="212">
        <f t="shared" si="3"/>
        <v>6.9514661274012735E-3</v>
      </c>
    </row>
    <row r="80" spans="1:8" x14ac:dyDescent="0.3">
      <c r="A80" s="299">
        <v>45840</v>
      </c>
      <c r="B80" s="300">
        <v>6227.42</v>
      </c>
      <c r="C80" s="179">
        <f t="shared" si="2"/>
        <v>-8.2699642478919477E-3</v>
      </c>
      <c r="D80" s="300"/>
      <c r="E80" s="300"/>
      <c r="F80" s="299">
        <v>45840</v>
      </c>
      <c r="G80" s="14">
        <v>157.25</v>
      </c>
      <c r="H80" s="212">
        <f t="shared" si="3"/>
        <v>-1.3116605999748954E-2</v>
      </c>
    </row>
    <row r="81" spans="1:8" x14ac:dyDescent="0.3">
      <c r="A81" s="299">
        <v>45839</v>
      </c>
      <c r="B81" s="300">
        <v>6198.01</v>
      </c>
      <c r="C81" s="179">
        <f t="shared" si="2"/>
        <v>-4.7226620333942204E-3</v>
      </c>
      <c r="D81" s="300"/>
      <c r="E81" s="300"/>
      <c r="F81" s="299">
        <v>45839</v>
      </c>
      <c r="G81" s="14">
        <v>153.30000000000001</v>
      </c>
      <c r="H81" s="212">
        <f t="shared" si="3"/>
        <v>-2.5119236883942686E-2</v>
      </c>
    </row>
    <row r="82" spans="1:8" x14ac:dyDescent="0.3">
      <c r="A82" s="299">
        <v>45838</v>
      </c>
      <c r="B82" s="300">
        <v>6204.95</v>
      </c>
      <c r="C82" s="179">
        <f t="shared" si="2"/>
        <v>1.1197142308578822E-3</v>
      </c>
      <c r="D82" s="300"/>
      <c r="E82" s="300"/>
      <c r="F82" s="299">
        <v>45838</v>
      </c>
      <c r="G82" s="14">
        <v>157.99</v>
      </c>
      <c r="H82" s="212">
        <f t="shared" si="3"/>
        <v>3.0593607305936077E-2</v>
      </c>
    </row>
    <row r="83" spans="1:8" x14ac:dyDescent="0.3">
      <c r="A83" s="299">
        <v>45835</v>
      </c>
      <c r="B83" s="300">
        <v>6173.07</v>
      </c>
      <c r="C83" s="179">
        <f t="shared" si="2"/>
        <v>-5.1378335038960721E-3</v>
      </c>
      <c r="D83" s="300"/>
      <c r="E83" s="300"/>
      <c r="F83" s="299">
        <v>45835</v>
      </c>
      <c r="G83" s="14">
        <v>157.75</v>
      </c>
      <c r="H83" s="212">
        <f t="shared" si="3"/>
        <v>-1.5190834862967018E-3</v>
      </c>
    </row>
    <row r="84" spans="1:8" x14ac:dyDescent="0.3">
      <c r="A84" s="299">
        <v>45834</v>
      </c>
      <c r="B84" s="300">
        <v>6141.02</v>
      </c>
      <c r="C84" s="179">
        <f t="shared" si="2"/>
        <v>-5.1919061342248218E-3</v>
      </c>
      <c r="D84" s="300"/>
      <c r="E84" s="300"/>
      <c r="F84" s="299">
        <v>45834</v>
      </c>
      <c r="G84" s="14">
        <v>155.02000000000001</v>
      </c>
      <c r="H84" s="212">
        <f t="shared" si="3"/>
        <v>-1.7305863708399261E-2</v>
      </c>
    </row>
    <row r="85" spans="1:8" x14ac:dyDescent="0.3">
      <c r="A85" s="299">
        <v>45833</v>
      </c>
      <c r="B85" s="300">
        <v>6092.16</v>
      </c>
      <c r="C85" s="179">
        <f t="shared" si="2"/>
        <v>-7.9563329870283583E-3</v>
      </c>
      <c r="D85" s="300"/>
      <c r="E85" s="300"/>
      <c r="F85" s="299">
        <v>45833</v>
      </c>
      <c r="G85" s="14">
        <v>154.31</v>
      </c>
      <c r="H85" s="212">
        <f t="shared" si="3"/>
        <v>-4.5800541865566036E-3</v>
      </c>
    </row>
    <row r="86" spans="1:8" x14ac:dyDescent="0.3">
      <c r="A86" s="299">
        <v>45832</v>
      </c>
      <c r="B86" s="300">
        <v>6092.18</v>
      </c>
      <c r="C86" s="179">
        <f t="shared" si="2"/>
        <v>3.2829078684404323E-6</v>
      </c>
      <c r="D86" s="300"/>
      <c r="E86" s="300"/>
      <c r="F86" s="299">
        <v>45832</v>
      </c>
      <c r="G86" s="14">
        <v>147.9</v>
      </c>
      <c r="H86" s="212">
        <f t="shared" si="3"/>
        <v>-4.1539757630743246E-2</v>
      </c>
    </row>
    <row r="87" spans="1:8" x14ac:dyDescent="0.3">
      <c r="A87" s="299">
        <v>45831</v>
      </c>
      <c r="B87" s="300">
        <v>6025.17</v>
      </c>
      <c r="C87" s="179">
        <f t="shared" si="2"/>
        <v>-1.0999346703478907E-2</v>
      </c>
      <c r="D87" s="300"/>
      <c r="E87" s="300"/>
      <c r="F87" s="299">
        <v>45831</v>
      </c>
      <c r="G87" s="14">
        <v>144.16999999999999</v>
      </c>
      <c r="H87" s="212">
        <f t="shared" si="3"/>
        <v>-2.5219743069641809E-2</v>
      </c>
    </row>
    <row r="88" spans="1:8" x14ac:dyDescent="0.3">
      <c r="A88" s="299">
        <v>45828</v>
      </c>
      <c r="B88" s="300">
        <v>5967.84</v>
      </c>
      <c r="C88" s="179">
        <f t="shared" si="2"/>
        <v>-9.5150842216900067E-3</v>
      </c>
      <c r="D88" s="300"/>
      <c r="E88" s="300"/>
      <c r="F88" s="299">
        <v>45828</v>
      </c>
      <c r="G88" s="14">
        <v>143.85</v>
      </c>
      <c r="H88" s="212">
        <f t="shared" si="3"/>
        <v>-2.2196018589165645E-3</v>
      </c>
    </row>
    <row r="89" spans="1:8" x14ac:dyDescent="0.3">
      <c r="A89" s="299">
        <v>45826</v>
      </c>
      <c r="B89" s="300">
        <v>5980.87</v>
      </c>
      <c r="C89" s="179">
        <f t="shared" si="2"/>
        <v>2.1833695273332232E-3</v>
      </c>
      <c r="D89" s="300"/>
      <c r="E89" s="300"/>
      <c r="F89" s="299">
        <v>45826</v>
      </c>
      <c r="G89" s="14">
        <v>145.47999999999999</v>
      </c>
      <c r="H89" s="212">
        <f t="shared" si="3"/>
        <v>1.1331247827598201E-2</v>
      </c>
    </row>
    <row r="90" spans="1:8" x14ac:dyDescent="0.3">
      <c r="A90" s="299">
        <v>45825</v>
      </c>
      <c r="B90" s="300">
        <v>5982.72</v>
      </c>
      <c r="C90" s="179">
        <f t="shared" si="2"/>
        <v>3.0931954715618382E-4</v>
      </c>
      <c r="D90" s="300"/>
      <c r="E90" s="300"/>
      <c r="F90" s="299">
        <v>45825</v>
      </c>
      <c r="G90" s="14">
        <v>144.12</v>
      </c>
      <c r="H90" s="212">
        <f t="shared" si="3"/>
        <v>-9.3483640362935772E-3</v>
      </c>
    </row>
    <row r="91" spans="1:8" x14ac:dyDescent="0.3">
      <c r="A91" s="299">
        <v>45824</v>
      </c>
      <c r="B91" s="300">
        <v>6033.11</v>
      </c>
      <c r="C91" s="179">
        <f t="shared" si="2"/>
        <v>8.4225903936669955E-3</v>
      </c>
      <c r="D91" s="300"/>
      <c r="E91" s="300"/>
      <c r="F91" s="299">
        <v>45824</v>
      </c>
      <c r="G91" s="14">
        <v>144.69</v>
      </c>
      <c r="H91" s="212">
        <f t="shared" si="3"/>
        <v>3.9550374687760126E-3</v>
      </c>
    </row>
    <row r="92" spans="1:8" x14ac:dyDescent="0.3">
      <c r="A92" s="299">
        <v>45821</v>
      </c>
      <c r="B92" s="300">
        <v>5976.97</v>
      </c>
      <c r="C92" s="179">
        <f t="shared" si="2"/>
        <v>-9.3053168266448161E-3</v>
      </c>
      <c r="D92" s="300"/>
      <c r="E92" s="300"/>
      <c r="F92" s="299">
        <v>45821</v>
      </c>
      <c r="G92" s="14">
        <v>141.97</v>
      </c>
      <c r="H92" s="212">
        <f t="shared" si="3"/>
        <v>-1.8798811251641401E-2</v>
      </c>
    </row>
    <row r="93" spans="1:8" x14ac:dyDescent="0.3">
      <c r="A93" s="299">
        <v>45820</v>
      </c>
      <c r="B93" s="300">
        <v>6045.26</v>
      </c>
      <c r="C93" s="179">
        <f t="shared" si="2"/>
        <v>1.1425521627179025E-2</v>
      </c>
      <c r="D93" s="300"/>
      <c r="E93" s="300"/>
      <c r="F93" s="299">
        <v>45820</v>
      </c>
      <c r="G93" s="14">
        <v>145</v>
      </c>
      <c r="H93" s="212">
        <f t="shared" si="3"/>
        <v>2.1342537155737196E-2</v>
      </c>
    </row>
    <row r="94" spans="1:8" x14ac:dyDescent="0.3">
      <c r="A94" s="299">
        <v>45819</v>
      </c>
      <c r="B94" s="300">
        <v>6022.24</v>
      </c>
      <c r="C94" s="179">
        <f t="shared" si="2"/>
        <v>-3.8079420901665495E-3</v>
      </c>
      <c r="D94" s="300"/>
      <c r="E94" s="300"/>
      <c r="F94" s="299">
        <v>45819</v>
      </c>
      <c r="G94" s="14">
        <v>142.83000000000001</v>
      </c>
      <c r="H94" s="212">
        <f t="shared" si="3"/>
        <v>-1.4965517241379178E-2</v>
      </c>
    </row>
    <row r="95" spans="1:8" x14ac:dyDescent="0.3">
      <c r="A95" s="299">
        <v>45818</v>
      </c>
      <c r="B95" s="300">
        <v>6038.81</v>
      </c>
      <c r="C95" s="179">
        <f t="shared" si="2"/>
        <v>2.7514678923457048E-3</v>
      </c>
      <c r="D95" s="300"/>
      <c r="E95" s="300"/>
      <c r="F95" s="299">
        <v>45818</v>
      </c>
      <c r="G95" s="14">
        <v>143.96</v>
      </c>
      <c r="H95" s="212">
        <f t="shared" si="3"/>
        <v>7.9115031856051843E-3</v>
      </c>
    </row>
    <row r="96" spans="1:8" x14ac:dyDescent="0.3">
      <c r="A96" s="299">
        <v>45817</v>
      </c>
      <c r="B96" s="300">
        <v>6005.88</v>
      </c>
      <c r="C96" s="179">
        <f t="shared" si="2"/>
        <v>-5.4530611163458031E-3</v>
      </c>
      <c r="D96" s="300"/>
      <c r="E96" s="300"/>
      <c r="F96" s="299">
        <v>45817</v>
      </c>
      <c r="G96" s="14">
        <v>142.63</v>
      </c>
      <c r="H96" s="212">
        <f t="shared" si="3"/>
        <v>-9.2386774103918601E-3</v>
      </c>
    </row>
    <row r="97" spans="1:8" x14ac:dyDescent="0.3">
      <c r="A97" s="299">
        <v>45814</v>
      </c>
      <c r="B97" s="300">
        <v>6000.36</v>
      </c>
      <c r="C97" s="179">
        <f t="shared" si="2"/>
        <v>-9.1909928270306196E-4</v>
      </c>
      <c r="D97" s="300"/>
      <c r="E97" s="300"/>
      <c r="F97" s="299">
        <v>45814</v>
      </c>
      <c r="G97" s="14">
        <v>141.72</v>
      </c>
      <c r="H97" s="212">
        <f t="shared" si="3"/>
        <v>-6.3801444296430754E-3</v>
      </c>
    </row>
    <row r="98" spans="1:8" x14ac:dyDescent="0.3">
      <c r="A98" s="299">
        <v>45813</v>
      </c>
      <c r="B98" s="300">
        <v>5939.3</v>
      </c>
      <c r="C98" s="179">
        <f t="shared" si="2"/>
        <v>-1.0176056103300413E-2</v>
      </c>
      <c r="D98" s="300"/>
      <c r="E98" s="300"/>
      <c r="F98" s="299">
        <v>45813</v>
      </c>
      <c r="G98" s="14">
        <v>139.99</v>
      </c>
      <c r="H98" s="212">
        <f t="shared" si="3"/>
        <v>-1.2207169065763357E-2</v>
      </c>
    </row>
    <row r="99" spans="1:8" x14ac:dyDescent="0.3">
      <c r="A99" s="299">
        <v>45812</v>
      </c>
      <c r="B99" s="300">
        <v>5970.81</v>
      </c>
      <c r="C99" s="179">
        <f t="shared" si="2"/>
        <v>5.305339013015109E-3</v>
      </c>
      <c r="D99" s="300"/>
      <c r="E99" s="300"/>
      <c r="F99" s="299">
        <v>45812</v>
      </c>
      <c r="G99" s="14">
        <v>141.91999999999999</v>
      </c>
      <c r="H99" s="212">
        <f t="shared" si="3"/>
        <v>1.3786699049932016E-2</v>
      </c>
    </row>
    <row r="100" spans="1:8" x14ac:dyDescent="0.3">
      <c r="A100" s="299">
        <v>45811</v>
      </c>
      <c r="B100" s="300">
        <v>5970.37</v>
      </c>
      <c r="C100" s="179">
        <f t="shared" si="2"/>
        <v>-7.3691844155288067E-5</v>
      </c>
      <c r="D100" s="300"/>
      <c r="E100" s="300"/>
      <c r="F100" s="299">
        <v>45811</v>
      </c>
      <c r="G100" s="14">
        <v>141.22</v>
      </c>
      <c r="H100" s="212">
        <f t="shared" si="3"/>
        <v>-4.9323562570461332E-3</v>
      </c>
    </row>
    <row r="101" spans="1:8" x14ac:dyDescent="0.3">
      <c r="A101" s="299">
        <v>45810</v>
      </c>
      <c r="B101" s="300">
        <v>5935.94</v>
      </c>
      <c r="C101" s="179">
        <f t="shared" si="2"/>
        <v>-5.7668117721347834E-3</v>
      </c>
      <c r="D101" s="300"/>
      <c r="E101" s="300"/>
      <c r="F101" s="299">
        <v>45810</v>
      </c>
      <c r="G101" s="14">
        <v>137.38</v>
      </c>
      <c r="H101" s="212">
        <f t="shared" si="3"/>
        <v>-2.7191615918425227E-2</v>
      </c>
    </row>
    <row r="102" spans="1:8" x14ac:dyDescent="0.3">
      <c r="A102" s="299">
        <v>45807</v>
      </c>
      <c r="B102" s="300">
        <v>5911.69</v>
      </c>
      <c r="C102" s="179">
        <f t="shared" si="2"/>
        <v>-4.0852838809017911E-3</v>
      </c>
      <c r="D102" s="300"/>
      <c r="E102" s="300"/>
      <c r="F102" s="299">
        <v>45807</v>
      </c>
      <c r="G102" s="14">
        <v>135.13</v>
      </c>
      <c r="H102" s="212">
        <f t="shared" si="3"/>
        <v>-1.6377929829669569E-2</v>
      </c>
    </row>
    <row r="103" spans="1:8" x14ac:dyDescent="0.3">
      <c r="A103" s="299">
        <v>45806</v>
      </c>
      <c r="B103" s="300">
        <v>5912.17</v>
      </c>
      <c r="C103" s="179">
        <f t="shared" si="2"/>
        <v>8.119505589787579E-5</v>
      </c>
      <c r="D103" s="300"/>
      <c r="E103" s="300"/>
      <c r="F103" s="299">
        <v>45806</v>
      </c>
      <c r="G103" s="14">
        <v>139.19</v>
      </c>
      <c r="H103" s="212">
        <f t="shared" si="3"/>
        <v>3.0045141715385304E-2</v>
      </c>
    </row>
    <row r="104" spans="1:8" x14ac:dyDescent="0.3">
      <c r="A104" s="299">
        <v>45805</v>
      </c>
      <c r="B104" s="300">
        <v>5888.55</v>
      </c>
      <c r="C104" s="179">
        <f t="shared" si="2"/>
        <v>-3.9951489892882108E-3</v>
      </c>
      <c r="D104" s="300"/>
      <c r="E104" s="300"/>
      <c r="F104" s="299">
        <v>45805</v>
      </c>
      <c r="G104" s="14">
        <v>134.81</v>
      </c>
      <c r="H104" s="212">
        <f t="shared" si="3"/>
        <v>-3.1467777857604684E-2</v>
      </c>
    </row>
    <row r="105" spans="1:8" x14ac:dyDescent="0.3">
      <c r="A105" s="299">
        <v>45804</v>
      </c>
      <c r="B105" s="300">
        <v>5921.54</v>
      </c>
      <c r="C105" s="179">
        <f t="shared" si="2"/>
        <v>5.6023978738399816E-3</v>
      </c>
      <c r="D105" s="300"/>
      <c r="E105" s="300"/>
      <c r="F105" s="299">
        <v>45804</v>
      </c>
      <c r="G105" s="14">
        <v>135.5</v>
      </c>
      <c r="H105" s="212">
        <f t="shared" si="3"/>
        <v>5.1183146650841671E-3</v>
      </c>
    </row>
    <row r="106" spans="1:8" x14ac:dyDescent="0.3">
      <c r="A106" s="299">
        <v>45800</v>
      </c>
      <c r="B106" s="300">
        <v>5802.82</v>
      </c>
      <c r="C106" s="179">
        <f t="shared" si="2"/>
        <v>-2.0048838646703482E-2</v>
      </c>
      <c r="D106" s="300"/>
      <c r="E106" s="300"/>
      <c r="F106" s="299">
        <v>45800</v>
      </c>
      <c r="G106" s="14">
        <v>131.29</v>
      </c>
      <c r="H106" s="212">
        <f t="shared" si="3"/>
        <v>-3.1070110701107101E-2</v>
      </c>
    </row>
    <row r="107" spans="1:8" x14ac:dyDescent="0.3">
      <c r="A107" s="299">
        <v>45799</v>
      </c>
      <c r="B107" s="300">
        <v>5842.01</v>
      </c>
      <c r="C107" s="179">
        <f t="shared" si="2"/>
        <v>6.7536128985563604E-3</v>
      </c>
      <c r="D107" s="300"/>
      <c r="E107" s="300"/>
      <c r="F107" s="299">
        <v>45799</v>
      </c>
      <c r="G107" s="14">
        <v>132.83000000000001</v>
      </c>
      <c r="H107" s="212">
        <f t="shared" si="3"/>
        <v>1.1729758549775537E-2</v>
      </c>
    </row>
    <row r="108" spans="1:8" x14ac:dyDescent="0.3">
      <c r="A108" s="299">
        <v>45798</v>
      </c>
      <c r="B108" s="300">
        <v>5844.61</v>
      </c>
      <c r="C108" s="179">
        <f t="shared" si="2"/>
        <v>4.4505230220415193E-4</v>
      </c>
      <c r="D108" s="300"/>
      <c r="E108" s="300"/>
      <c r="F108" s="299">
        <v>45798</v>
      </c>
      <c r="G108" s="14">
        <v>131.80000000000001</v>
      </c>
      <c r="H108" s="212">
        <f t="shared" si="3"/>
        <v>-7.7542723782277889E-3</v>
      </c>
    </row>
    <row r="109" spans="1:8" x14ac:dyDescent="0.3">
      <c r="A109" s="299">
        <v>45797</v>
      </c>
      <c r="B109" s="300">
        <v>5940.46</v>
      </c>
      <c r="C109" s="179">
        <f t="shared" si="2"/>
        <v>1.639972555910485E-2</v>
      </c>
      <c r="D109" s="300"/>
      <c r="E109" s="300"/>
      <c r="F109" s="299">
        <v>45797</v>
      </c>
      <c r="G109" s="14">
        <v>134.38</v>
      </c>
      <c r="H109" s="212">
        <f t="shared" si="3"/>
        <v>1.957511380880117E-2</v>
      </c>
    </row>
    <row r="110" spans="1:8" x14ac:dyDescent="0.3">
      <c r="A110" s="299">
        <v>45796</v>
      </c>
      <c r="B110" s="300">
        <v>5963.6</v>
      </c>
      <c r="C110" s="179">
        <f t="shared" si="2"/>
        <v>3.8953212377492719E-3</v>
      </c>
      <c r="D110" s="300"/>
      <c r="E110" s="300"/>
      <c r="F110" s="299">
        <v>45796</v>
      </c>
      <c r="G110" s="14">
        <v>135.57</v>
      </c>
      <c r="H110" s="212">
        <f t="shared" si="3"/>
        <v>8.8554844470902783E-3</v>
      </c>
    </row>
    <row r="111" spans="1:8" x14ac:dyDescent="0.3">
      <c r="A111" s="299">
        <v>45793</v>
      </c>
      <c r="B111" s="300">
        <v>5958.38</v>
      </c>
      <c r="C111" s="179">
        <f t="shared" si="2"/>
        <v>-8.7531021530617981E-4</v>
      </c>
      <c r="D111" s="300"/>
      <c r="E111" s="300"/>
      <c r="F111" s="299">
        <v>45793</v>
      </c>
      <c r="G111" s="14">
        <v>135.4</v>
      </c>
      <c r="H111" s="212">
        <f t="shared" si="3"/>
        <v>-1.2539647414618882E-3</v>
      </c>
    </row>
    <row r="112" spans="1:8" x14ac:dyDescent="0.3">
      <c r="A112" s="299">
        <v>45792</v>
      </c>
      <c r="B112" s="300">
        <v>5916.93</v>
      </c>
      <c r="C112" s="179">
        <f t="shared" si="2"/>
        <v>-6.9565888714717694E-3</v>
      </c>
      <c r="D112" s="300"/>
      <c r="E112" s="300"/>
      <c r="F112" s="299">
        <v>45792</v>
      </c>
      <c r="G112" s="14">
        <v>134.83000000000001</v>
      </c>
      <c r="H112" s="212">
        <f t="shared" si="3"/>
        <v>-4.2097488921712944E-3</v>
      </c>
    </row>
    <row r="113" spans="1:8" x14ac:dyDescent="0.3">
      <c r="A113" s="299">
        <v>45791</v>
      </c>
      <c r="B113" s="300">
        <v>5892.58</v>
      </c>
      <c r="C113" s="179">
        <f t="shared" si="2"/>
        <v>-4.1153097974795383E-3</v>
      </c>
      <c r="D113" s="300"/>
      <c r="E113" s="300"/>
      <c r="F113" s="299">
        <v>45791</v>
      </c>
      <c r="G113" s="14">
        <v>135.34</v>
      </c>
      <c r="H113" s="212">
        <f t="shared" si="3"/>
        <v>3.7825409775271712E-3</v>
      </c>
    </row>
    <row r="114" spans="1:8" x14ac:dyDescent="0.3">
      <c r="A114" s="299">
        <v>45790</v>
      </c>
      <c r="B114" s="300">
        <v>5886.55</v>
      </c>
      <c r="C114" s="179">
        <f t="shared" si="2"/>
        <v>-1.0233208543625194E-3</v>
      </c>
      <c r="D114" s="300"/>
      <c r="E114" s="300"/>
      <c r="F114" s="299">
        <v>45790</v>
      </c>
      <c r="G114" s="14">
        <v>129.93</v>
      </c>
      <c r="H114" s="212">
        <f t="shared" si="3"/>
        <v>-3.99734003251071E-2</v>
      </c>
    </row>
    <row r="115" spans="1:8" x14ac:dyDescent="0.3">
      <c r="A115" s="299">
        <v>45789</v>
      </c>
      <c r="B115" s="300">
        <v>5844.19</v>
      </c>
      <c r="C115" s="179">
        <f t="shared" si="2"/>
        <v>-7.1960656071893281E-3</v>
      </c>
      <c r="D115" s="300"/>
      <c r="E115" s="300"/>
      <c r="F115" s="299">
        <v>45789</v>
      </c>
      <c r="G115" s="14">
        <v>123</v>
      </c>
      <c r="H115" s="212">
        <f t="shared" si="3"/>
        <v>-5.3336411914107651E-2</v>
      </c>
    </row>
    <row r="116" spans="1:8" x14ac:dyDescent="0.3">
      <c r="A116" s="299">
        <v>45786</v>
      </c>
      <c r="B116" s="300">
        <v>5659.91</v>
      </c>
      <c r="C116" s="179">
        <f t="shared" si="2"/>
        <v>-3.1532171267532383E-2</v>
      </c>
      <c r="D116" s="300"/>
      <c r="E116" s="300"/>
      <c r="F116" s="299">
        <v>45786</v>
      </c>
      <c r="G116" s="14">
        <v>116.65</v>
      </c>
      <c r="H116" s="212">
        <f t="shared" si="3"/>
        <v>-5.162601626016261E-2</v>
      </c>
    </row>
    <row r="117" spans="1:8" x14ac:dyDescent="0.3">
      <c r="A117" s="299">
        <v>45785</v>
      </c>
      <c r="B117" s="300">
        <v>5663.94</v>
      </c>
      <c r="C117" s="179">
        <f t="shared" si="2"/>
        <v>7.1202545623516578E-4</v>
      </c>
      <c r="D117" s="300"/>
      <c r="E117" s="300"/>
      <c r="F117" s="299">
        <v>45785</v>
      </c>
      <c r="G117" s="14">
        <v>117.37</v>
      </c>
      <c r="H117" s="212">
        <f t="shared" si="3"/>
        <v>6.1723103300470594E-3</v>
      </c>
    </row>
    <row r="118" spans="1:8" x14ac:dyDescent="0.3">
      <c r="A118" s="299">
        <v>45784</v>
      </c>
      <c r="B118" s="300">
        <v>5631.28</v>
      </c>
      <c r="C118" s="179">
        <f t="shared" si="2"/>
        <v>-5.7663040215820693E-3</v>
      </c>
      <c r="D118" s="300"/>
      <c r="E118" s="300"/>
      <c r="F118" s="299">
        <v>45784</v>
      </c>
      <c r="G118" s="14">
        <v>117.06</v>
      </c>
      <c r="H118" s="212">
        <f t="shared" si="3"/>
        <v>-2.6412200732726099E-3</v>
      </c>
    </row>
    <row r="119" spans="1:8" x14ac:dyDescent="0.3">
      <c r="A119" s="299">
        <v>45783</v>
      </c>
      <c r="B119" s="300">
        <v>5606.91</v>
      </c>
      <c r="C119" s="179">
        <f t="shared" si="2"/>
        <v>-4.3276129050588974E-3</v>
      </c>
      <c r="D119" s="300"/>
      <c r="E119" s="300"/>
      <c r="F119" s="299">
        <v>45783</v>
      </c>
      <c r="G119" s="14">
        <v>113.54</v>
      </c>
      <c r="H119" s="212">
        <f t="shared" si="3"/>
        <v>-3.0070049547240685E-2</v>
      </c>
    </row>
    <row r="120" spans="1:8" x14ac:dyDescent="0.3">
      <c r="A120" s="299">
        <v>45782</v>
      </c>
      <c r="B120" s="300">
        <v>5650.38</v>
      </c>
      <c r="C120" s="179">
        <f t="shared" si="2"/>
        <v>7.7529334339234701E-3</v>
      </c>
      <c r="D120" s="300"/>
      <c r="E120" s="300"/>
      <c r="F120" s="299">
        <v>45782</v>
      </c>
      <c r="G120" s="14">
        <v>113.82</v>
      </c>
      <c r="H120" s="212">
        <f t="shared" si="3"/>
        <v>2.4660912453760009E-3</v>
      </c>
    </row>
    <row r="121" spans="1:8" x14ac:dyDescent="0.3">
      <c r="A121" s="299">
        <v>45779</v>
      </c>
      <c r="B121" s="300">
        <v>5686.67</v>
      </c>
      <c r="C121" s="179">
        <f t="shared" si="2"/>
        <v>6.4225768886341239E-3</v>
      </c>
      <c r="D121" s="300"/>
      <c r="E121" s="300"/>
      <c r="F121" s="299">
        <v>45779</v>
      </c>
      <c r="G121" s="14">
        <v>114.5</v>
      </c>
      <c r="H121" s="212">
        <f t="shared" si="3"/>
        <v>5.9743454577403377E-3</v>
      </c>
    </row>
    <row r="122" spans="1:8" x14ac:dyDescent="0.3">
      <c r="A122" s="299">
        <v>45778</v>
      </c>
      <c r="B122" s="300">
        <v>5604.14</v>
      </c>
      <c r="C122" s="179">
        <f t="shared" si="2"/>
        <v>-1.4512887155400223E-2</v>
      </c>
      <c r="D122" s="300"/>
      <c r="E122" s="300"/>
      <c r="F122" s="299">
        <v>45778</v>
      </c>
      <c r="G122" s="14">
        <v>111.61</v>
      </c>
      <c r="H122" s="212">
        <f t="shared" si="3"/>
        <v>-2.5240174672489069E-2</v>
      </c>
    </row>
    <row r="123" spans="1:8" x14ac:dyDescent="0.3">
      <c r="A123" s="299">
        <v>45777</v>
      </c>
      <c r="B123" s="300">
        <v>5569.06</v>
      </c>
      <c r="C123" s="179">
        <f t="shared" si="2"/>
        <v>-6.2596580385214651E-3</v>
      </c>
      <c r="D123" s="300"/>
      <c r="E123" s="300"/>
      <c r="F123" s="299">
        <v>45777</v>
      </c>
      <c r="G123" s="14">
        <v>108.92</v>
      </c>
      <c r="H123" s="212">
        <f t="shared" si="3"/>
        <v>-2.4101782994355281E-2</v>
      </c>
    </row>
    <row r="124" spans="1:8" x14ac:dyDescent="0.3">
      <c r="A124" s="299">
        <v>45776</v>
      </c>
      <c r="B124" s="300">
        <v>5560.83</v>
      </c>
      <c r="C124" s="179">
        <f t="shared" si="2"/>
        <v>-1.477807744933668E-3</v>
      </c>
      <c r="D124" s="300"/>
      <c r="E124" s="300"/>
      <c r="F124" s="299">
        <v>45776</v>
      </c>
      <c r="G124" s="14">
        <v>109.02</v>
      </c>
      <c r="H124" s="212">
        <f t="shared" si="3"/>
        <v>9.1810503121547704E-4</v>
      </c>
    </row>
    <row r="125" spans="1:8" x14ac:dyDescent="0.3">
      <c r="A125" s="299">
        <v>45775</v>
      </c>
      <c r="B125" s="300">
        <v>5528.75</v>
      </c>
      <c r="C125" s="179">
        <f t="shared" si="2"/>
        <v>-5.7689229845184764E-3</v>
      </c>
      <c r="D125" s="300"/>
      <c r="E125" s="300"/>
      <c r="F125" s="299">
        <v>45775</v>
      </c>
      <c r="G125" s="14">
        <v>108.73</v>
      </c>
      <c r="H125" s="212">
        <f t="shared" si="3"/>
        <v>-2.6600623738762819E-3</v>
      </c>
    </row>
    <row r="126" spans="1:8" x14ac:dyDescent="0.3">
      <c r="A126" s="299">
        <v>45772</v>
      </c>
      <c r="B126" s="300">
        <v>5525.21</v>
      </c>
      <c r="C126" s="179">
        <f t="shared" si="2"/>
        <v>-6.4028939633731241E-4</v>
      </c>
      <c r="D126" s="300"/>
      <c r="E126" s="300"/>
      <c r="F126" s="299">
        <v>45772</v>
      </c>
      <c r="G126" s="14">
        <v>111.01</v>
      </c>
      <c r="H126" s="212">
        <f t="shared" si="3"/>
        <v>2.0969373677917735E-2</v>
      </c>
    </row>
    <row r="127" spans="1:8" x14ac:dyDescent="0.3">
      <c r="A127" s="299">
        <v>45771</v>
      </c>
      <c r="B127" s="300">
        <v>5484.77</v>
      </c>
      <c r="C127" s="179">
        <f t="shared" si="2"/>
        <v>-7.3191788185426043E-3</v>
      </c>
      <c r="D127" s="300"/>
      <c r="E127" s="300"/>
      <c r="F127" s="299">
        <v>45771</v>
      </c>
      <c r="G127" s="14">
        <v>106.43</v>
      </c>
      <c r="H127" s="212">
        <f t="shared" si="3"/>
        <v>-4.1257544365372434E-2</v>
      </c>
    </row>
    <row r="128" spans="1:8" x14ac:dyDescent="0.3">
      <c r="A128" s="299">
        <v>45770</v>
      </c>
      <c r="B128" s="300">
        <v>5375.86</v>
      </c>
      <c r="C128" s="179">
        <f t="shared" si="2"/>
        <v>-1.9856803475806761E-2</v>
      </c>
      <c r="D128" s="300"/>
      <c r="E128" s="300"/>
      <c r="F128" s="299">
        <v>45770</v>
      </c>
      <c r="G128" s="14">
        <v>102.71</v>
      </c>
      <c r="H128" s="212">
        <f t="shared" si="3"/>
        <v>-3.4952550972470298E-2</v>
      </c>
    </row>
    <row r="129" spans="1:8" x14ac:dyDescent="0.3">
      <c r="A129" s="299">
        <v>45769</v>
      </c>
      <c r="B129" s="300">
        <v>5287.76</v>
      </c>
      <c r="C129" s="179">
        <f t="shared" si="2"/>
        <v>-1.6388075582325357E-2</v>
      </c>
      <c r="D129" s="300"/>
      <c r="E129" s="300"/>
      <c r="F129" s="299">
        <v>45769</v>
      </c>
      <c r="G129" s="14">
        <v>98.89</v>
      </c>
      <c r="H129" s="212">
        <f t="shared" si="3"/>
        <v>-3.7192094245935059E-2</v>
      </c>
    </row>
    <row r="130" spans="1:8" x14ac:dyDescent="0.3">
      <c r="A130" s="299">
        <v>45768</v>
      </c>
      <c r="B130" s="300">
        <v>5158.2</v>
      </c>
      <c r="C130" s="179">
        <f t="shared" si="2"/>
        <v>-2.4501868466042409E-2</v>
      </c>
      <c r="D130" s="300"/>
      <c r="E130" s="300"/>
      <c r="F130" s="299">
        <v>45768</v>
      </c>
      <c r="G130" s="14">
        <v>96.91</v>
      </c>
      <c r="H130" s="212">
        <f t="shared" si="3"/>
        <v>-2.0022246941045596E-2</v>
      </c>
    </row>
    <row r="131" spans="1:8" x14ac:dyDescent="0.3">
      <c r="A131" s="299">
        <v>45764</v>
      </c>
      <c r="B131" s="300">
        <v>5282.7</v>
      </c>
      <c r="C131" s="179">
        <f t="shared" si="2"/>
        <v>2.4136326625566973E-2</v>
      </c>
      <c r="D131" s="300"/>
      <c r="E131" s="300"/>
      <c r="F131" s="299">
        <v>45764</v>
      </c>
      <c r="G131" s="14">
        <v>101.49</v>
      </c>
      <c r="H131" s="212">
        <f t="shared" si="3"/>
        <v>4.7260344649674879E-2</v>
      </c>
    </row>
    <row r="132" spans="1:8" x14ac:dyDescent="0.3">
      <c r="A132" s="299">
        <v>45763</v>
      </c>
      <c r="B132" s="300">
        <v>5275.7</v>
      </c>
      <c r="C132" s="179">
        <f t="shared" si="2"/>
        <v>-1.3250799780415434E-3</v>
      </c>
      <c r="D132" s="300"/>
      <c r="E132" s="300"/>
      <c r="F132" s="299">
        <v>45763</v>
      </c>
      <c r="G132" s="14">
        <v>104.49</v>
      </c>
      <c r="H132" s="212">
        <f t="shared" si="3"/>
        <v>2.9559562518474802E-2</v>
      </c>
    </row>
    <row r="133" spans="1:8" x14ac:dyDescent="0.3">
      <c r="A133" s="299">
        <v>45762</v>
      </c>
      <c r="B133" s="300">
        <v>5396.63</v>
      </c>
      <c r="C133" s="179">
        <f t="shared" si="2"/>
        <v>2.2922076691244797E-2</v>
      </c>
      <c r="D133" s="300"/>
      <c r="E133" s="300"/>
      <c r="F133" s="299">
        <v>45762</v>
      </c>
      <c r="G133" s="14">
        <v>112.2</v>
      </c>
      <c r="H133" s="212">
        <f t="shared" si="3"/>
        <v>7.3786965259833526E-2</v>
      </c>
    </row>
    <row r="134" spans="1:8" x14ac:dyDescent="0.3">
      <c r="A134" s="299">
        <v>45761</v>
      </c>
      <c r="B134" s="300">
        <v>5405.97</v>
      </c>
      <c r="C134" s="179">
        <f t="shared" ref="C134:C197" si="4">B134/B133-1</f>
        <v>1.7307097206959998E-3</v>
      </c>
      <c r="D134" s="300"/>
      <c r="E134" s="300"/>
      <c r="F134" s="299">
        <v>45761</v>
      </c>
      <c r="G134" s="14">
        <v>110.71</v>
      </c>
      <c r="H134" s="212">
        <f t="shared" ref="H134:H197" si="5">G134/G133-1</f>
        <v>-1.3279857397504591E-2</v>
      </c>
    </row>
    <row r="135" spans="1:8" x14ac:dyDescent="0.3">
      <c r="A135" s="299">
        <v>45758</v>
      </c>
      <c r="B135" s="300">
        <v>5363.36</v>
      </c>
      <c r="C135" s="179">
        <f t="shared" si="4"/>
        <v>-7.8820267223089768E-3</v>
      </c>
      <c r="D135" s="300"/>
      <c r="E135" s="300"/>
      <c r="F135" s="299">
        <v>45758</v>
      </c>
      <c r="G135" s="14">
        <v>110.93</v>
      </c>
      <c r="H135" s="212">
        <f t="shared" si="5"/>
        <v>1.9871736970464848E-3</v>
      </c>
    </row>
    <row r="136" spans="1:8" x14ac:dyDescent="0.3">
      <c r="A136" s="299">
        <v>45757</v>
      </c>
      <c r="B136" s="300">
        <v>5268.05</v>
      </c>
      <c r="C136" s="179">
        <f t="shared" si="4"/>
        <v>-1.7770576653441061E-2</v>
      </c>
      <c r="D136" s="300"/>
      <c r="E136" s="300"/>
      <c r="F136" s="299">
        <v>45757</v>
      </c>
      <c r="G136" s="14">
        <v>107.57</v>
      </c>
      <c r="H136" s="212">
        <f t="shared" si="5"/>
        <v>-3.0289371675831678E-2</v>
      </c>
    </row>
    <row r="137" spans="1:8" x14ac:dyDescent="0.3">
      <c r="A137" s="299">
        <v>45756</v>
      </c>
      <c r="B137" s="300">
        <v>5456.9</v>
      </c>
      <c r="C137" s="179">
        <f t="shared" si="4"/>
        <v>3.5848179117510259E-2</v>
      </c>
      <c r="D137" s="300"/>
      <c r="E137" s="300"/>
      <c r="F137" s="299">
        <v>45756</v>
      </c>
      <c r="G137" s="14">
        <v>114.33</v>
      </c>
      <c r="H137" s="212">
        <f t="shared" si="5"/>
        <v>6.2842800037185231E-2</v>
      </c>
    </row>
    <row r="138" spans="1:8" x14ac:dyDescent="0.3">
      <c r="A138" s="299">
        <v>45755</v>
      </c>
      <c r="B138" s="300">
        <v>4982.7700000000004</v>
      </c>
      <c r="C138" s="179">
        <f t="shared" si="4"/>
        <v>-8.6886327402004637E-2</v>
      </c>
      <c r="D138" s="300"/>
      <c r="E138" s="300"/>
      <c r="F138" s="299">
        <v>45755</v>
      </c>
      <c r="G138" s="14">
        <v>96.3</v>
      </c>
      <c r="H138" s="212">
        <f t="shared" si="5"/>
        <v>-0.15770139071109945</v>
      </c>
    </row>
    <row r="139" spans="1:8" x14ac:dyDescent="0.3">
      <c r="A139" s="299">
        <v>45754</v>
      </c>
      <c r="B139" s="300">
        <v>5062.25</v>
      </c>
      <c r="C139" s="179">
        <f t="shared" si="4"/>
        <v>1.5950967032393626E-2</v>
      </c>
      <c r="D139" s="300"/>
      <c r="E139" s="300"/>
      <c r="F139" s="299">
        <v>45754</v>
      </c>
      <c r="G139" s="14">
        <v>97.64</v>
      </c>
      <c r="H139" s="212">
        <f t="shared" si="5"/>
        <v>1.3914849428868115E-2</v>
      </c>
    </row>
    <row r="140" spans="1:8" x14ac:dyDescent="0.3">
      <c r="A140" s="299">
        <v>45751</v>
      </c>
      <c r="B140" s="300">
        <v>5074.08</v>
      </c>
      <c r="C140" s="179">
        <f t="shared" si="4"/>
        <v>2.336905526198807E-3</v>
      </c>
      <c r="D140" s="300"/>
      <c r="E140" s="300"/>
      <c r="F140" s="299">
        <v>45751</v>
      </c>
      <c r="G140" s="14">
        <v>94.31</v>
      </c>
      <c r="H140" s="212">
        <f t="shared" si="5"/>
        <v>-3.4104875051208516E-2</v>
      </c>
    </row>
    <row r="141" spans="1:8" x14ac:dyDescent="0.3">
      <c r="A141" s="299">
        <v>45750</v>
      </c>
      <c r="B141" s="300">
        <v>5396.52</v>
      </c>
      <c r="C141" s="179">
        <f t="shared" si="4"/>
        <v>6.3546495128181002E-2</v>
      </c>
      <c r="D141" s="300"/>
      <c r="E141" s="300"/>
      <c r="F141" s="299">
        <v>45750</v>
      </c>
      <c r="G141" s="14">
        <v>101.8</v>
      </c>
      <c r="H141" s="212">
        <f t="shared" si="5"/>
        <v>7.9418937546389401E-2</v>
      </c>
    </row>
    <row r="142" spans="1:8" x14ac:dyDescent="0.3">
      <c r="A142" s="299">
        <v>45749</v>
      </c>
      <c r="B142" s="300">
        <v>5670.97</v>
      </c>
      <c r="C142" s="179">
        <f t="shared" si="4"/>
        <v>5.0856848487543793E-2</v>
      </c>
      <c r="D142" s="300"/>
      <c r="E142" s="300"/>
      <c r="F142" s="299">
        <v>45749</v>
      </c>
      <c r="G142" s="14">
        <v>110.42</v>
      </c>
      <c r="H142" s="212">
        <f t="shared" si="5"/>
        <v>8.467583497053055E-2</v>
      </c>
    </row>
    <row r="143" spans="1:8" x14ac:dyDescent="0.3">
      <c r="A143" s="299">
        <v>45748</v>
      </c>
      <c r="B143" s="300">
        <v>5633.07</v>
      </c>
      <c r="C143" s="179">
        <f t="shared" si="4"/>
        <v>-6.6831600237702293E-3</v>
      </c>
      <c r="D143" s="300"/>
      <c r="E143" s="300"/>
      <c r="F143" s="299">
        <v>45748</v>
      </c>
      <c r="G143" s="14">
        <v>110.15</v>
      </c>
      <c r="H143" s="212">
        <f t="shared" si="5"/>
        <v>-2.4452092012315907E-3</v>
      </c>
    </row>
    <row r="144" spans="1:8" x14ac:dyDescent="0.3">
      <c r="A144" s="299">
        <v>45747</v>
      </c>
      <c r="B144" s="300">
        <v>5611.85</v>
      </c>
      <c r="C144" s="179">
        <f t="shared" si="4"/>
        <v>-3.7670399977275393E-3</v>
      </c>
      <c r="D144" s="300"/>
      <c r="E144" s="300"/>
      <c r="F144" s="299">
        <v>45747</v>
      </c>
      <c r="G144" s="14">
        <v>108.38</v>
      </c>
      <c r="H144" s="212">
        <f t="shared" si="5"/>
        <v>-1.6068996822514836E-2</v>
      </c>
    </row>
    <row r="145" spans="1:8" x14ac:dyDescent="0.3">
      <c r="A145" s="299">
        <v>45744</v>
      </c>
      <c r="B145" s="300">
        <v>5580.94</v>
      </c>
      <c r="C145" s="179">
        <f t="shared" si="4"/>
        <v>-5.5079875620340779E-3</v>
      </c>
      <c r="D145" s="300"/>
      <c r="E145" s="300"/>
      <c r="F145" s="299">
        <v>45744</v>
      </c>
      <c r="G145" s="14">
        <v>109.67</v>
      </c>
      <c r="H145" s="212">
        <f t="shared" si="5"/>
        <v>1.190256504890197E-2</v>
      </c>
    </row>
    <row r="146" spans="1:8" x14ac:dyDescent="0.3">
      <c r="A146" s="299">
        <v>45743</v>
      </c>
      <c r="B146" s="300">
        <v>5693.31</v>
      </c>
      <c r="C146" s="179">
        <f t="shared" si="4"/>
        <v>2.0134600981196904E-2</v>
      </c>
      <c r="D146" s="300"/>
      <c r="E146" s="300"/>
      <c r="F146" s="299">
        <v>45743</v>
      </c>
      <c r="G146" s="14">
        <v>111.43</v>
      </c>
      <c r="H146" s="212">
        <f t="shared" si="5"/>
        <v>1.6048144433300049E-2</v>
      </c>
    </row>
    <row r="147" spans="1:8" x14ac:dyDescent="0.3">
      <c r="A147" s="299">
        <v>45742</v>
      </c>
      <c r="B147" s="300">
        <v>5712.2</v>
      </c>
      <c r="C147" s="179">
        <f t="shared" si="4"/>
        <v>3.3179292889373713E-3</v>
      </c>
      <c r="D147" s="300"/>
      <c r="E147" s="300"/>
      <c r="F147" s="299">
        <v>45742</v>
      </c>
      <c r="G147" s="14">
        <v>113.76</v>
      </c>
      <c r="H147" s="212">
        <f t="shared" si="5"/>
        <v>2.0909988333482898E-2</v>
      </c>
    </row>
    <row r="148" spans="1:8" x14ac:dyDescent="0.3">
      <c r="A148" s="299">
        <v>45741</v>
      </c>
      <c r="B148" s="300">
        <v>5776.65</v>
      </c>
      <c r="C148" s="179">
        <f t="shared" si="4"/>
        <v>1.128286824691016E-2</v>
      </c>
      <c r="D148" s="300"/>
      <c r="E148" s="300"/>
      <c r="F148" s="299">
        <v>45741</v>
      </c>
      <c r="G148" s="14">
        <v>120.69</v>
      </c>
      <c r="H148" s="212">
        <f t="shared" si="5"/>
        <v>6.0917721518987333E-2</v>
      </c>
    </row>
    <row r="149" spans="1:8" x14ac:dyDescent="0.3">
      <c r="A149" s="299">
        <v>45740</v>
      </c>
      <c r="B149" s="300">
        <v>5767.57</v>
      </c>
      <c r="C149" s="179">
        <f t="shared" si="4"/>
        <v>-1.5718452736447341E-3</v>
      </c>
      <c r="D149" s="300"/>
      <c r="E149" s="300"/>
      <c r="F149" s="299">
        <v>45740</v>
      </c>
      <c r="G149" s="14">
        <v>121.41</v>
      </c>
      <c r="H149" s="212">
        <f t="shared" si="5"/>
        <v>5.9656972408650422E-3</v>
      </c>
    </row>
    <row r="150" spans="1:8" x14ac:dyDescent="0.3">
      <c r="A150" s="299">
        <v>45737</v>
      </c>
      <c r="B150" s="300">
        <v>5667.56</v>
      </c>
      <c r="C150" s="179">
        <f t="shared" si="4"/>
        <v>-1.7340058291446692E-2</v>
      </c>
      <c r="D150" s="300"/>
      <c r="E150" s="300"/>
      <c r="F150" s="299">
        <v>45737</v>
      </c>
      <c r="G150" s="14">
        <v>117.7</v>
      </c>
      <c r="H150" s="212">
        <f t="shared" si="5"/>
        <v>-3.055761469401197E-2</v>
      </c>
    </row>
    <row r="151" spans="1:8" x14ac:dyDescent="0.3">
      <c r="A151" s="299">
        <v>45736</v>
      </c>
      <c r="B151" s="300">
        <v>5662.89</v>
      </c>
      <c r="C151" s="179">
        <f t="shared" si="4"/>
        <v>-8.2398774781389239E-4</v>
      </c>
      <c r="D151" s="300"/>
      <c r="E151" s="300"/>
      <c r="F151" s="299">
        <v>45736</v>
      </c>
      <c r="G151" s="14">
        <v>118.53</v>
      </c>
      <c r="H151" s="212">
        <f t="shared" si="5"/>
        <v>7.0518266779948657E-3</v>
      </c>
    </row>
    <row r="152" spans="1:8" x14ac:dyDescent="0.3">
      <c r="A152" s="299">
        <v>45735</v>
      </c>
      <c r="B152" s="300">
        <v>5675.29</v>
      </c>
      <c r="C152" s="179">
        <f t="shared" si="4"/>
        <v>2.1896946612065538E-3</v>
      </c>
      <c r="D152" s="300"/>
      <c r="E152" s="300"/>
      <c r="F152" s="299">
        <v>45735</v>
      </c>
      <c r="G152" s="14">
        <v>117.52</v>
      </c>
      <c r="H152" s="212">
        <f t="shared" si="5"/>
        <v>-8.5210495233274397E-3</v>
      </c>
    </row>
    <row r="153" spans="1:8" x14ac:dyDescent="0.3">
      <c r="A153" s="299">
        <v>45734</v>
      </c>
      <c r="B153" s="300">
        <v>5614.66</v>
      </c>
      <c r="C153" s="179">
        <f t="shared" si="4"/>
        <v>-1.0683154517214133E-2</v>
      </c>
      <c r="D153" s="300"/>
      <c r="E153" s="300"/>
      <c r="F153" s="299">
        <v>45734</v>
      </c>
      <c r="G153" s="14">
        <v>115.43</v>
      </c>
      <c r="H153" s="212">
        <f t="shared" si="5"/>
        <v>-1.7784206943498915E-2</v>
      </c>
    </row>
    <row r="154" spans="1:8" x14ac:dyDescent="0.3">
      <c r="A154" s="299">
        <v>45733</v>
      </c>
      <c r="B154" s="300">
        <v>5675.12</v>
      </c>
      <c r="C154" s="179">
        <f t="shared" si="4"/>
        <v>1.0768238860411783E-2</v>
      </c>
      <c r="D154" s="300"/>
      <c r="E154" s="300"/>
      <c r="F154" s="299">
        <v>45733</v>
      </c>
      <c r="G154" s="14">
        <v>119.53</v>
      </c>
      <c r="H154" s="212">
        <f t="shared" si="5"/>
        <v>3.5519362384128783E-2</v>
      </c>
    </row>
    <row r="155" spans="1:8" x14ac:dyDescent="0.3">
      <c r="A155" s="299">
        <v>45730</v>
      </c>
      <c r="B155" s="300">
        <v>5638.94</v>
      </c>
      <c r="C155" s="179">
        <f t="shared" si="4"/>
        <v>-6.3751955905778646E-3</v>
      </c>
      <c r="D155" s="300"/>
      <c r="E155" s="300"/>
      <c r="F155" s="299">
        <v>45730</v>
      </c>
      <c r="G155" s="14">
        <v>121.67</v>
      </c>
      <c r="H155" s="212">
        <f t="shared" si="5"/>
        <v>1.7903455199531404E-2</v>
      </c>
    </row>
    <row r="156" spans="1:8" x14ac:dyDescent="0.3">
      <c r="A156" s="299">
        <v>45729</v>
      </c>
      <c r="B156" s="300">
        <v>5521.52</v>
      </c>
      <c r="C156" s="179">
        <f t="shared" si="4"/>
        <v>-2.0823062490467947E-2</v>
      </c>
      <c r="D156" s="300"/>
      <c r="E156" s="300"/>
      <c r="F156" s="299">
        <v>45729</v>
      </c>
      <c r="G156" s="14">
        <v>115.58</v>
      </c>
      <c r="H156" s="212">
        <f t="shared" si="5"/>
        <v>-5.0053423193885171E-2</v>
      </c>
    </row>
    <row r="157" spans="1:8" x14ac:dyDescent="0.3">
      <c r="A157" s="299">
        <v>45728</v>
      </c>
      <c r="B157" s="300">
        <v>5599.3</v>
      </c>
      <c r="C157" s="179">
        <f t="shared" si="4"/>
        <v>1.4086700763557891E-2</v>
      </c>
      <c r="D157" s="300"/>
      <c r="E157" s="300"/>
      <c r="F157" s="299">
        <v>45728</v>
      </c>
      <c r="G157" s="14">
        <v>115.74</v>
      </c>
      <c r="H157" s="212">
        <f t="shared" si="5"/>
        <v>1.3843225471534826E-3</v>
      </c>
    </row>
    <row r="158" spans="1:8" x14ac:dyDescent="0.3">
      <c r="A158" s="299">
        <v>45727</v>
      </c>
      <c r="B158" s="300">
        <v>5572.07</v>
      </c>
      <c r="C158" s="179">
        <f t="shared" si="4"/>
        <v>-4.8631078884860957E-3</v>
      </c>
      <c r="D158" s="300"/>
      <c r="E158" s="300"/>
      <c r="F158" s="299">
        <v>45727</v>
      </c>
      <c r="G158" s="14">
        <v>108.76</v>
      </c>
      <c r="H158" s="212">
        <f t="shared" si="5"/>
        <v>-6.0307585968550126E-2</v>
      </c>
    </row>
    <row r="159" spans="1:8" x14ac:dyDescent="0.3">
      <c r="A159" s="299">
        <v>45726</v>
      </c>
      <c r="B159" s="300">
        <v>5614.56</v>
      </c>
      <c r="C159" s="179">
        <f t="shared" si="4"/>
        <v>7.6255323425586941E-3</v>
      </c>
      <c r="D159" s="300"/>
      <c r="E159" s="300"/>
      <c r="F159" s="299">
        <v>45726</v>
      </c>
      <c r="G159" s="14">
        <v>106.98</v>
      </c>
      <c r="H159" s="212">
        <f t="shared" si="5"/>
        <v>-1.6366311143802825E-2</v>
      </c>
    </row>
    <row r="160" spans="1:8" x14ac:dyDescent="0.3">
      <c r="A160" s="299">
        <v>45723</v>
      </c>
      <c r="B160" s="300">
        <v>5770.2</v>
      </c>
      <c r="C160" s="179">
        <f t="shared" si="4"/>
        <v>2.772078310677939E-2</v>
      </c>
      <c r="D160" s="300"/>
      <c r="E160" s="300"/>
      <c r="F160" s="299">
        <v>45723</v>
      </c>
      <c r="G160" s="14">
        <v>112.69</v>
      </c>
      <c r="H160" s="212">
        <f t="shared" si="5"/>
        <v>5.3374462516358134E-2</v>
      </c>
    </row>
    <row r="161" spans="1:8" x14ac:dyDescent="0.3">
      <c r="A161" s="299">
        <v>45722</v>
      </c>
      <c r="B161" s="300">
        <v>5738.52</v>
      </c>
      <c r="C161" s="179">
        <f t="shared" si="4"/>
        <v>-5.4902776333575209E-3</v>
      </c>
      <c r="D161" s="300"/>
      <c r="E161" s="300"/>
      <c r="F161" s="299">
        <v>45722</v>
      </c>
      <c r="G161" s="14">
        <v>110.57</v>
      </c>
      <c r="H161" s="212">
        <f t="shared" si="5"/>
        <v>-1.8812671931848435E-2</v>
      </c>
    </row>
    <row r="162" spans="1:8" x14ac:dyDescent="0.3">
      <c r="A162" s="299">
        <v>45721</v>
      </c>
      <c r="B162" s="300">
        <v>5842.63</v>
      </c>
      <c r="C162" s="179">
        <f t="shared" si="4"/>
        <v>1.81423084697796E-2</v>
      </c>
      <c r="D162" s="300"/>
      <c r="E162" s="300"/>
      <c r="F162" s="299">
        <v>45721</v>
      </c>
      <c r="G162" s="14">
        <v>117.3</v>
      </c>
      <c r="H162" s="212">
        <f t="shared" si="5"/>
        <v>6.0866419462783705E-2</v>
      </c>
    </row>
    <row r="163" spans="1:8" x14ac:dyDescent="0.3">
      <c r="A163" s="299">
        <v>45720</v>
      </c>
      <c r="B163" s="300">
        <v>5778.15</v>
      </c>
      <c r="C163" s="179">
        <f t="shared" si="4"/>
        <v>-1.1036125854281487E-2</v>
      </c>
      <c r="D163" s="300"/>
      <c r="E163" s="300"/>
      <c r="F163" s="299">
        <v>45720</v>
      </c>
      <c r="G163" s="14">
        <v>115.99</v>
      </c>
      <c r="H163" s="212">
        <f t="shared" si="5"/>
        <v>-1.1167945439045202E-2</v>
      </c>
    </row>
    <row r="164" spans="1:8" x14ac:dyDescent="0.3">
      <c r="A164" s="299">
        <v>45719</v>
      </c>
      <c r="B164" s="300">
        <v>5849.72</v>
      </c>
      <c r="C164" s="179">
        <f t="shared" si="4"/>
        <v>1.2386317419935455E-2</v>
      </c>
      <c r="D164" s="300"/>
      <c r="E164" s="300"/>
      <c r="F164" s="299">
        <v>45719</v>
      </c>
      <c r="G164" s="14">
        <v>114.06</v>
      </c>
      <c r="H164" s="212">
        <f t="shared" si="5"/>
        <v>-1.6639365462539857E-2</v>
      </c>
    </row>
    <row r="165" spans="1:8" x14ac:dyDescent="0.3">
      <c r="A165" s="299">
        <v>45716</v>
      </c>
      <c r="B165" s="300">
        <v>5954.5</v>
      </c>
      <c r="C165" s="179">
        <f t="shared" si="4"/>
        <v>1.7911968436095993E-2</v>
      </c>
      <c r="D165" s="300"/>
      <c r="E165" s="300"/>
      <c r="F165" s="299">
        <v>45716</v>
      </c>
      <c r="G165" s="14">
        <v>124.92</v>
      </c>
      <c r="H165" s="212">
        <f t="shared" si="5"/>
        <v>9.5213045765386584E-2</v>
      </c>
    </row>
    <row r="166" spans="1:8" x14ac:dyDescent="0.3">
      <c r="A166" s="299">
        <v>45715</v>
      </c>
      <c r="B166" s="300">
        <v>5861.57</v>
      </c>
      <c r="C166" s="179">
        <f t="shared" si="4"/>
        <v>-1.5606684020488704E-2</v>
      </c>
      <c r="D166" s="300"/>
      <c r="E166" s="300"/>
      <c r="F166" s="299">
        <v>45715</v>
      </c>
      <c r="G166" s="14">
        <v>120.15</v>
      </c>
      <c r="H166" s="212">
        <f t="shared" si="5"/>
        <v>-3.8184438040345769E-2</v>
      </c>
    </row>
    <row r="167" spans="1:8" x14ac:dyDescent="0.3">
      <c r="A167" s="299">
        <v>45714</v>
      </c>
      <c r="B167" s="300">
        <v>5956.06</v>
      </c>
      <c r="C167" s="179">
        <f t="shared" si="4"/>
        <v>1.6120254471071904E-2</v>
      </c>
      <c r="D167" s="300"/>
      <c r="E167" s="300"/>
      <c r="F167" s="299">
        <v>45714</v>
      </c>
      <c r="G167" s="14">
        <v>131.28</v>
      </c>
      <c r="H167" s="212">
        <f t="shared" si="5"/>
        <v>9.2634207240948729E-2</v>
      </c>
    </row>
    <row r="168" spans="1:8" x14ac:dyDescent="0.3">
      <c r="A168" s="299">
        <v>45713</v>
      </c>
      <c r="B168" s="300">
        <v>5955.25</v>
      </c>
      <c r="C168" s="179">
        <f t="shared" si="4"/>
        <v>-1.3599594362723177E-4</v>
      </c>
      <c r="D168" s="300"/>
      <c r="E168" s="300"/>
      <c r="F168" s="299">
        <v>45713</v>
      </c>
      <c r="G168" s="14">
        <v>126.63</v>
      </c>
      <c r="H168" s="212">
        <f t="shared" si="5"/>
        <v>-3.542047531992687E-2</v>
      </c>
    </row>
    <row r="169" spans="1:8" x14ac:dyDescent="0.3">
      <c r="A169" s="299">
        <v>45712</v>
      </c>
      <c r="B169" s="300">
        <v>5983.25</v>
      </c>
      <c r="C169" s="179">
        <f t="shared" si="4"/>
        <v>4.7017337643255885E-3</v>
      </c>
      <c r="D169" s="300"/>
      <c r="E169" s="300"/>
      <c r="F169" s="299">
        <v>45712</v>
      </c>
      <c r="G169" s="14">
        <v>130.28</v>
      </c>
      <c r="H169" s="212">
        <f t="shared" si="5"/>
        <v>2.882413330174538E-2</v>
      </c>
    </row>
    <row r="170" spans="1:8" x14ac:dyDescent="0.3">
      <c r="A170" s="299">
        <v>45709</v>
      </c>
      <c r="B170" s="300">
        <v>6013.13</v>
      </c>
      <c r="C170" s="179">
        <f t="shared" si="4"/>
        <v>4.9939414197970322E-3</v>
      </c>
      <c r="D170" s="300"/>
      <c r="E170" s="300"/>
      <c r="F170" s="299">
        <v>45709</v>
      </c>
      <c r="G170" s="14">
        <v>134.43</v>
      </c>
      <c r="H170" s="212">
        <f t="shared" si="5"/>
        <v>3.1854467301197564E-2</v>
      </c>
    </row>
    <row r="171" spans="1:8" x14ac:dyDescent="0.3">
      <c r="A171" s="299">
        <v>45708</v>
      </c>
      <c r="B171" s="300">
        <v>6117.52</v>
      </c>
      <c r="C171" s="179">
        <f t="shared" si="4"/>
        <v>1.7360343115814914E-2</v>
      </c>
      <c r="D171" s="300"/>
      <c r="E171" s="300"/>
      <c r="F171" s="299">
        <v>45708</v>
      </c>
      <c r="G171" s="14">
        <v>140.11000000000001</v>
      </c>
      <c r="H171" s="212">
        <f t="shared" si="5"/>
        <v>4.2252473406233726E-2</v>
      </c>
    </row>
    <row r="172" spans="1:8" x14ac:dyDescent="0.3">
      <c r="A172" s="299">
        <v>45707</v>
      </c>
      <c r="B172" s="300">
        <v>6144.15</v>
      </c>
      <c r="C172" s="179">
        <f t="shared" si="4"/>
        <v>4.3530711791706089E-3</v>
      </c>
      <c r="D172" s="300"/>
      <c r="E172" s="300"/>
      <c r="F172" s="299">
        <v>45707</v>
      </c>
      <c r="G172" s="14">
        <v>139.22999999999999</v>
      </c>
      <c r="H172" s="212">
        <f t="shared" si="5"/>
        <v>-6.2807793876241691E-3</v>
      </c>
    </row>
    <row r="173" spans="1:8" x14ac:dyDescent="0.3">
      <c r="A173" s="299">
        <v>45706</v>
      </c>
      <c r="B173" s="300">
        <v>6129.58</v>
      </c>
      <c r="C173" s="179">
        <f t="shared" si="4"/>
        <v>-2.3713613762684771E-3</v>
      </c>
      <c r="D173" s="300"/>
      <c r="E173" s="300"/>
      <c r="F173" s="299">
        <v>45706</v>
      </c>
      <c r="G173" s="14">
        <v>139.4</v>
      </c>
      <c r="H173" s="212">
        <f t="shared" si="5"/>
        <v>1.2210012210014387E-3</v>
      </c>
    </row>
    <row r="174" spans="1:8" x14ac:dyDescent="0.3">
      <c r="A174" s="299">
        <v>45702</v>
      </c>
      <c r="B174" s="300">
        <v>6114.63</v>
      </c>
      <c r="C174" s="179">
        <f t="shared" si="4"/>
        <v>-2.4389925574019866E-3</v>
      </c>
      <c r="D174" s="300"/>
      <c r="E174" s="300"/>
      <c r="F174" s="299">
        <v>45702</v>
      </c>
      <c r="G174" s="14">
        <v>138.85</v>
      </c>
      <c r="H174" s="212">
        <f t="shared" si="5"/>
        <v>-3.9454806312769763E-3</v>
      </c>
    </row>
    <row r="175" spans="1:8" x14ac:dyDescent="0.3">
      <c r="A175" s="299">
        <v>45701</v>
      </c>
      <c r="B175" s="300">
        <v>6115.07</v>
      </c>
      <c r="C175" s="179">
        <f t="shared" si="4"/>
        <v>7.1958564949792247E-5</v>
      </c>
      <c r="D175" s="300"/>
      <c r="E175" s="300"/>
      <c r="F175" s="299">
        <v>45701</v>
      </c>
      <c r="G175" s="14">
        <v>135.29</v>
      </c>
      <c r="H175" s="212">
        <f t="shared" si="5"/>
        <v>-2.5639178970111698E-2</v>
      </c>
    </row>
    <row r="176" spans="1:8" x14ac:dyDescent="0.3">
      <c r="A176" s="299">
        <v>45700</v>
      </c>
      <c r="B176" s="300">
        <v>6051.97</v>
      </c>
      <c r="C176" s="179">
        <f t="shared" si="4"/>
        <v>-1.0318769858725929E-2</v>
      </c>
      <c r="D176" s="300"/>
      <c r="E176" s="300"/>
      <c r="F176" s="299">
        <v>45700</v>
      </c>
      <c r="G176" s="14">
        <v>131.13999999999999</v>
      </c>
      <c r="H176" s="212">
        <f t="shared" si="5"/>
        <v>-3.0674846625766916E-2</v>
      </c>
    </row>
    <row r="177" spans="1:8" x14ac:dyDescent="0.3">
      <c r="A177" s="299">
        <v>45699</v>
      </c>
      <c r="B177" s="300">
        <v>6068.5</v>
      </c>
      <c r="C177" s="179">
        <f t="shared" si="4"/>
        <v>2.7313420258197052E-3</v>
      </c>
      <c r="D177" s="300"/>
      <c r="E177" s="300"/>
      <c r="F177" s="299">
        <v>45699</v>
      </c>
      <c r="G177" s="14">
        <v>132.80000000000001</v>
      </c>
      <c r="H177" s="212">
        <f t="shared" si="5"/>
        <v>1.2658227848101555E-2</v>
      </c>
    </row>
    <row r="178" spans="1:8" x14ac:dyDescent="0.3">
      <c r="A178" s="299">
        <v>45698</v>
      </c>
      <c r="B178" s="300">
        <v>6066.44</v>
      </c>
      <c r="C178" s="179">
        <f t="shared" si="4"/>
        <v>-3.3945785614242219E-4</v>
      </c>
      <c r="D178" s="300"/>
      <c r="E178" s="300"/>
      <c r="F178" s="299">
        <v>45698</v>
      </c>
      <c r="G178" s="14">
        <v>133.57</v>
      </c>
      <c r="H178" s="212">
        <f t="shared" si="5"/>
        <v>5.7981927710841763E-3</v>
      </c>
    </row>
    <row r="179" spans="1:8" x14ac:dyDescent="0.3">
      <c r="A179" s="299">
        <v>45695</v>
      </c>
      <c r="B179" s="300">
        <v>6025.99</v>
      </c>
      <c r="C179" s="179">
        <f t="shared" si="4"/>
        <v>-6.6678315453544412E-3</v>
      </c>
      <c r="D179" s="300"/>
      <c r="E179" s="300"/>
      <c r="F179" s="299">
        <v>45695</v>
      </c>
      <c r="G179" s="14">
        <v>129.84</v>
      </c>
      <c r="H179" s="212">
        <f t="shared" si="5"/>
        <v>-2.7925432357565283E-2</v>
      </c>
    </row>
    <row r="180" spans="1:8" x14ac:dyDescent="0.3">
      <c r="A180" s="299">
        <v>45694</v>
      </c>
      <c r="B180" s="300">
        <v>6083.57</v>
      </c>
      <c r="C180" s="179">
        <f t="shared" si="4"/>
        <v>9.5552763944182217E-3</v>
      </c>
      <c r="D180" s="300"/>
      <c r="E180" s="300"/>
      <c r="F180" s="299">
        <v>45694</v>
      </c>
      <c r="G180" s="14">
        <v>128.68</v>
      </c>
      <c r="H180" s="212">
        <f t="shared" si="5"/>
        <v>-8.9340727048674573E-3</v>
      </c>
    </row>
    <row r="181" spans="1:8" x14ac:dyDescent="0.3">
      <c r="A181" s="299">
        <v>45693</v>
      </c>
      <c r="B181" s="300">
        <v>6061.48</v>
      </c>
      <c r="C181" s="179">
        <f t="shared" si="4"/>
        <v>-3.6310916123263315E-3</v>
      </c>
      <c r="D181" s="300"/>
      <c r="E181" s="300"/>
      <c r="F181" s="299">
        <v>45693</v>
      </c>
      <c r="G181" s="14">
        <v>124.83</v>
      </c>
      <c r="H181" s="212">
        <f t="shared" si="5"/>
        <v>-2.9919179359651937E-2</v>
      </c>
    </row>
    <row r="182" spans="1:8" x14ac:dyDescent="0.3">
      <c r="A182" s="299">
        <v>45692</v>
      </c>
      <c r="B182" s="300">
        <v>6037.88</v>
      </c>
      <c r="C182" s="179">
        <f t="shared" si="4"/>
        <v>-3.8934385661586468E-3</v>
      </c>
      <c r="D182" s="300"/>
      <c r="E182" s="300"/>
      <c r="F182" s="299">
        <v>45692</v>
      </c>
      <c r="G182" s="14">
        <v>118.65</v>
      </c>
      <c r="H182" s="212">
        <f t="shared" si="5"/>
        <v>-4.9507329968757396E-2</v>
      </c>
    </row>
    <row r="183" spans="1:8" x14ac:dyDescent="0.3">
      <c r="A183" s="299">
        <v>45691</v>
      </c>
      <c r="B183" s="300">
        <v>5994.57</v>
      </c>
      <c r="C183" s="179">
        <f t="shared" si="4"/>
        <v>-7.1730474934911248E-3</v>
      </c>
      <c r="D183" s="300"/>
      <c r="E183" s="300"/>
      <c r="F183" s="299">
        <v>45691</v>
      </c>
      <c r="G183" s="14">
        <v>116.66</v>
      </c>
      <c r="H183" s="212">
        <f t="shared" si="5"/>
        <v>-1.6772018541930112E-2</v>
      </c>
    </row>
    <row r="184" spans="1:8" x14ac:dyDescent="0.3">
      <c r="A184" s="299">
        <v>45688</v>
      </c>
      <c r="B184" s="300">
        <v>6040.53</v>
      </c>
      <c r="C184" s="179">
        <f t="shared" si="4"/>
        <v>7.6669385794143619E-3</v>
      </c>
      <c r="D184" s="300"/>
      <c r="E184" s="300"/>
      <c r="F184" s="299">
        <v>45688</v>
      </c>
      <c r="G184" s="14">
        <v>120.07</v>
      </c>
      <c r="H184" s="212">
        <f t="shared" si="5"/>
        <v>2.9230241728098738E-2</v>
      </c>
    </row>
    <row r="185" spans="1:8" x14ac:dyDescent="0.3">
      <c r="A185" s="299">
        <v>45687</v>
      </c>
      <c r="B185" s="300">
        <v>6071.17</v>
      </c>
      <c r="C185" s="179">
        <f t="shared" si="4"/>
        <v>5.0724025871902167E-3</v>
      </c>
      <c r="D185" s="300"/>
      <c r="E185" s="300"/>
      <c r="F185" s="299">
        <v>45687</v>
      </c>
      <c r="G185" s="14">
        <v>124.65</v>
      </c>
      <c r="H185" s="212">
        <f t="shared" si="5"/>
        <v>3.8144415757474848E-2</v>
      </c>
    </row>
    <row r="186" spans="1:8" x14ac:dyDescent="0.3">
      <c r="A186" s="299">
        <v>45686</v>
      </c>
      <c r="B186" s="300">
        <v>6039.31</v>
      </c>
      <c r="C186" s="179">
        <f t="shared" si="4"/>
        <v>-5.2477529043001292E-3</v>
      </c>
      <c r="D186" s="300"/>
      <c r="E186" s="300"/>
      <c r="F186" s="299">
        <v>45686</v>
      </c>
      <c r="G186" s="14">
        <v>123.7</v>
      </c>
      <c r="H186" s="212">
        <f t="shared" si="5"/>
        <v>-7.6213397513036352E-3</v>
      </c>
    </row>
    <row r="187" spans="1:8" x14ac:dyDescent="0.3">
      <c r="A187" s="299">
        <v>45685</v>
      </c>
      <c r="B187" s="300">
        <v>6067.7</v>
      </c>
      <c r="C187" s="179">
        <f t="shared" si="4"/>
        <v>4.7008681455331658E-3</v>
      </c>
      <c r="D187" s="300"/>
      <c r="E187" s="300"/>
      <c r="F187" s="299">
        <v>45685</v>
      </c>
      <c r="G187" s="14">
        <v>128.99</v>
      </c>
      <c r="H187" s="212">
        <f t="shared" si="5"/>
        <v>4.2764753435731606E-2</v>
      </c>
    </row>
    <row r="188" spans="1:8" x14ac:dyDescent="0.3">
      <c r="A188" s="299">
        <v>45684</v>
      </c>
      <c r="B188" s="300">
        <v>6012.28</v>
      </c>
      <c r="C188" s="179">
        <f t="shared" si="4"/>
        <v>-9.1336091105361783E-3</v>
      </c>
      <c r="D188" s="300"/>
      <c r="E188" s="300"/>
      <c r="F188" s="299">
        <v>45684</v>
      </c>
      <c r="G188" s="14">
        <v>118.42</v>
      </c>
      <c r="H188" s="212">
        <f t="shared" si="5"/>
        <v>-8.1944336770292336E-2</v>
      </c>
    </row>
    <row r="189" spans="1:8" x14ac:dyDescent="0.3">
      <c r="A189" s="299">
        <v>45681</v>
      </c>
      <c r="B189" s="300">
        <v>6101.24</v>
      </c>
      <c r="C189" s="179">
        <f t="shared" si="4"/>
        <v>1.4796383401970647E-2</v>
      </c>
      <c r="D189" s="300"/>
      <c r="E189" s="300"/>
      <c r="F189" s="299">
        <v>45681</v>
      </c>
      <c r="G189" s="14">
        <v>142.62</v>
      </c>
      <c r="H189" s="212">
        <f t="shared" si="5"/>
        <v>0.2043573720655294</v>
      </c>
    </row>
    <row r="190" spans="1:8" x14ac:dyDescent="0.3">
      <c r="A190" s="299">
        <v>45680</v>
      </c>
      <c r="B190" s="300">
        <v>6118.71</v>
      </c>
      <c r="C190" s="179">
        <f t="shared" si="4"/>
        <v>2.8633523677155104E-3</v>
      </c>
      <c r="D190" s="300"/>
      <c r="E190" s="300"/>
      <c r="F190" s="299">
        <v>45680</v>
      </c>
      <c r="G190" s="14">
        <v>147.22</v>
      </c>
      <c r="H190" s="212">
        <f t="shared" si="5"/>
        <v>3.2253540877857256E-2</v>
      </c>
    </row>
    <row r="191" spans="1:8" x14ac:dyDescent="0.3">
      <c r="A191" s="299">
        <v>45679</v>
      </c>
      <c r="B191" s="300">
        <v>6086.37</v>
      </c>
      <c r="C191" s="179">
        <f t="shared" si="4"/>
        <v>-5.2854278107640207E-3</v>
      </c>
      <c r="D191" s="300"/>
      <c r="E191" s="300"/>
      <c r="F191" s="299">
        <v>45679</v>
      </c>
      <c r="G191" s="14">
        <v>147.07</v>
      </c>
      <c r="H191" s="212">
        <f t="shared" si="5"/>
        <v>-1.0188833038989875E-3</v>
      </c>
    </row>
    <row r="192" spans="1:8" x14ac:dyDescent="0.3">
      <c r="A192" s="299">
        <v>45678</v>
      </c>
      <c r="B192" s="300">
        <v>6049.24</v>
      </c>
      <c r="C192" s="179">
        <f t="shared" si="4"/>
        <v>-6.1005163997588374E-3</v>
      </c>
      <c r="D192" s="300"/>
      <c r="E192" s="300"/>
      <c r="F192" s="299">
        <v>45678</v>
      </c>
      <c r="G192" s="14">
        <v>140.83000000000001</v>
      </c>
      <c r="H192" s="212">
        <f t="shared" si="5"/>
        <v>-4.2428775413068442E-2</v>
      </c>
    </row>
    <row r="193" spans="1:8" x14ac:dyDescent="0.3">
      <c r="A193" s="299">
        <v>45674</v>
      </c>
      <c r="B193" s="300">
        <v>5996.66</v>
      </c>
      <c r="C193" s="179">
        <f t="shared" si="4"/>
        <v>-8.692000978635317E-3</v>
      </c>
      <c r="D193" s="300"/>
      <c r="E193" s="300"/>
      <c r="F193" s="299">
        <v>45674</v>
      </c>
      <c r="G193" s="14">
        <v>137.71</v>
      </c>
      <c r="H193" s="212">
        <f t="shared" si="5"/>
        <v>-2.2154370517645461E-2</v>
      </c>
    </row>
    <row r="194" spans="1:8" x14ac:dyDescent="0.3">
      <c r="A194" s="299">
        <v>45673</v>
      </c>
      <c r="B194" s="300">
        <v>5937.34</v>
      </c>
      <c r="C194" s="179">
        <f t="shared" si="4"/>
        <v>-9.8921733098090714E-3</v>
      </c>
      <c r="D194" s="300"/>
      <c r="E194" s="300"/>
      <c r="F194" s="299">
        <v>45673</v>
      </c>
      <c r="G194" s="14">
        <v>133.57</v>
      </c>
      <c r="H194" s="212">
        <f t="shared" si="5"/>
        <v>-3.0063176239924605E-2</v>
      </c>
    </row>
    <row r="195" spans="1:8" x14ac:dyDescent="0.3">
      <c r="A195" s="299">
        <v>45672</v>
      </c>
      <c r="B195" s="300">
        <v>5949.91</v>
      </c>
      <c r="C195" s="179">
        <f t="shared" si="4"/>
        <v>2.1171096821135382E-3</v>
      </c>
      <c r="D195" s="300"/>
      <c r="E195" s="300"/>
      <c r="F195" s="299">
        <v>45672</v>
      </c>
      <c r="G195" s="14">
        <v>136.24</v>
      </c>
      <c r="H195" s="212">
        <f t="shared" si="5"/>
        <v>1.9989518604477174E-2</v>
      </c>
    </row>
    <row r="196" spans="1:8" x14ac:dyDescent="0.3">
      <c r="A196" s="299">
        <v>45671</v>
      </c>
      <c r="B196" s="300">
        <v>5842.91</v>
      </c>
      <c r="C196" s="179">
        <f t="shared" si="4"/>
        <v>-1.7983465296113721E-2</v>
      </c>
      <c r="D196" s="300"/>
      <c r="E196" s="300"/>
      <c r="F196" s="299">
        <v>45671</v>
      </c>
      <c r="G196" s="14">
        <v>131.76</v>
      </c>
      <c r="H196" s="212">
        <f t="shared" si="5"/>
        <v>-3.2883147386964295E-2</v>
      </c>
    </row>
    <row r="197" spans="1:8" x14ac:dyDescent="0.3">
      <c r="A197" s="299">
        <v>45670</v>
      </c>
      <c r="B197" s="300">
        <v>5836.22</v>
      </c>
      <c r="C197" s="179">
        <f t="shared" si="4"/>
        <v>-1.1449774170746441E-3</v>
      </c>
      <c r="D197" s="300"/>
      <c r="E197" s="300"/>
      <c r="F197" s="299">
        <v>45670</v>
      </c>
      <c r="G197" s="14">
        <v>133.22999999999999</v>
      </c>
      <c r="H197" s="212">
        <f t="shared" si="5"/>
        <v>1.1156648451730478E-2</v>
      </c>
    </row>
    <row r="198" spans="1:8" x14ac:dyDescent="0.3">
      <c r="A198" s="299">
        <v>45667</v>
      </c>
      <c r="B198" s="300">
        <v>5827.04</v>
      </c>
      <c r="C198" s="179">
        <f t="shared" ref="C198:C261" si="6">B198/B197-1</f>
        <v>-1.5729359071454674E-3</v>
      </c>
      <c r="D198" s="300"/>
      <c r="E198" s="300"/>
      <c r="F198" s="299">
        <v>45667</v>
      </c>
      <c r="G198" s="14">
        <v>135.91</v>
      </c>
      <c r="H198" s="212">
        <f t="shared" ref="H198:H261" si="7">G198/G197-1</f>
        <v>2.0115589581926052E-2</v>
      </c>
    </row>
    <row r="199" spans="1:8" x14ac:dyDescent="0.3">
      <c r="A199" s="299">
        <v>45665</v>
      </c>
      <c r="B199" s="300">
        <v>5918.25</v>
      </c>
      <c r="C199" s="179">
        <f t="shared" si="6"/>
        <v>1.5652887229193668E-2</v>
      </c>
      <c r="D199" s="300"/>
      <c r="E199" s="300"/>
      <c r="F199" s="299">
        <v>45665</v>
      </c>
      <c r="G199" s="14">
        <v>140.11000000000001</v>
      </c>
      <c r="H199" s="212">
        <f t="shared" si="7"/>
        <v>3.0902803325730366E-2</v>
      </c>
    </row>
    <row r="200" spans="1:8" x14ac:dyDescent="0.3">
      <c r="A200" s="299">
        <v>45664</v>
      </c>
      <c r="B200" s="300">
        <v>5909.03</v>
      </c>
      <c r="C200" s="179">
        <f t="shared" si="6"/>
        <v>-1.5578929582225065E-3</v>
      </c>
      <c r="D200" s="300"/>
      <c r="E200" s="300"/>
      <c r="F200" s="299">
        <v>45664</v>
      </c>
      <c r="G200" s="14">
        <v>140.13999999999999</v>
      </c>
      <c r="H200" s="212">
        <f t="shared" si="7"/>
        <v>2.1411747912325474E-4</v>
      </c>
    </row>
    <row r="201" spans="1:8" x14ac:dyDescent="0.3">
      <c r="A201" s="299">
        <v>45663</v>
      </c>
      <c r="B201" s="300">
        <v>5975.38</v>
      </c>
      <c r="C201" s="179">
        <f t="shared" si="6"/>
        <v>1.122857727918114E-2</v>
      </c>
      <c r="D201" s="300"/>
      <c r="E201" s="300"/>
      <c r="F201" s="299">
        <v>45663</v>
      </c>
      <c r="G201" s="14">
        <v>149.43</v>
      </c>
      <c r="H201" s="212">
        <f t="shared" si="7"/>
        <v>6.6290852005137957E-2</v>
      </c>
    </row>
    <row r="202" spans="1:8" x14ac:dyDescent="0.3">
      <c r="A202" s="299">
        <v>45660</v>
      </c>
      <c r="B202" s="300">
        <v>5942.47</v>
      </c>
      <c r="C202" s="179">
        <f t="shared" si="6"/>
        <v>-5.5075995166834479E-3</v>
      </c>
      <c r="D202" s="300"/>
      <c r="E202" s="300"/>
      <c r="F202" s="299">
        <v>45660</v>
      </c>
      <c r="G202" s="14">
        <v>144.47</v>
      </c>
      <c r="H202" s="212">
        <f t="shared" si="7"/>
        <v>-3.3192799304021969E-2</v>
      </c>
    </row>
    <row r="203" spans="1:8" x14ac:dyDescent="0.3">
      <c r="A203" s="299">
        <v>45659</v>
      </c>
      <c r="B203" s="300">
        <v>5868.55</v>
      </c>
      <c r="C203" s="179">
        <f t="shared" si="6"/>
        <v>-1.2439271885259839E-2</v>
      </c>
      <c r="D203" s="300"/>
      <c r="E203" s="300"/>
      <c r="F203" s="299">
        <v>45659</v>
      </c>
      <c r="G203" s="14">
        <v>138.31</v>
      </c>
      <c r="H203" s="212">
        <f t="shared" si="7"/>
        <v>-4.2638610092060603E-2</v>
      </c>
    </row>
    <row r="204" spans="1:8" x14ac:dyDescent="0.3">
      <c r="A204" s="299">
        <v>45657</v>
      </c>
      <c r="B204" s="300">
        <v>5881.63</v>
      </c>
      <c r="C204" s="179">
        <f t="shared" si="6"/>
        <v>2.2288299494763741E-3</v>
      </c>
      <c r="D204" s="300"/>
      <c r="E204" s="300"/>
      <c r="F204" s="299">
        <v>45657</v>
      </c>
      <c r="G204" s="14">
        <v>134.29</v>
      </c>
      <c r="H204" s="212">
        <f t="shared" si="7"/>
        <v>-2.90651435181839E-2</v>
      </c>
    </row>
    <row r="205" spans="1:8" x14ac:dyDescent="0.3">
      <c r="A205" s="299">
        <v>45656</v>
      </c>
      <c r="B205" s="300">
        <v>5906.94</v>
      </c>
      <c r="C205" s="179">
        <f t="shared" si="6"/>
        <v>4.3032288668276575E-3</v>
      </c>
      <c r="D205" s="300"/>
      <c r="E205" s="300"/>
      <c r="F205" s="299">
        <v>45656</v>
      </c>
      <c r="G205" s="14">
        <v>137.49</v>
      </c>
      <c r="H205" s="212">
        <f t="shared" si="7"/>
        <v>2.382902673318954E-2</v>
      </c>
    </row>
    <row r="206" spans="1:8" x14ac:dyDescent="0.3">
      <c r="A206" s="299">
        <v>45653</v>
      </c>
      <c r="B206" s="300">
        <v>5970.84</v>
      </c>
      <c r="C206" s="179">
        <f t="shared" si="6"/>
        <v>1.0817783827159255E-2</v>
      </c>
      <c r="D206" s="300"/>
      <c r="E206" s="300"/>
      <c r="F206" s="299">
        <v>45653</v>
      </c>
      <c r="G206" s="14">
        <v>137.01</v>
      </c>
      <c r="H206" s="212">
        <f t="shared" si="7"/>
        <v>-3.4911629936723587E-3</v>
      </c>
    </row>
    <row r="207" spans="1:8" x14ac:dyDescent="0.3">
      <c r="A207" s="299">
        <v>45652</v>
      </c>
      <c r="B207" s="300">
        <v>6037.59</v>
      </c>
      <c r="C207" s="179">
        <f t="shared" si="6"/>
        <v>1.1179331551339544E-2</v>
      </c>
      <c r="D207" s="300"/>
      <c r="E207" s="300"/>
      <c r="F207" s="299">
        <v>45652</v>
      </c>
      <c r="G207" s="14">
        <v>139.93</v>
      </c>
      <c r="H207" s="212">
        <f t="shared" si="7"/>
        <v>2.1312312969856251E-2</v>
      </c>
    </row>
    <row r="208" spans="1:8" x14ac:dyDescent="0.3">
      <c r="A208" s="299">
        <v>45650</v>
      </c>
      <c r="B208" s="300">
        <v>6040.04</v>
      </c>
      <c r="C208" s="179">
        <f t="shared" si="6"/>
        <v>4.0579105239002544E-4</v>
      </c>
      <c r="D208" s="300"/>
      <c r="E208" s="300"/>
      <c r="F208" s="299">
        <v>45650</v>
      </c>
      <c r="G208" s="14">
        <v>140.22</v>
      </c>
      <c r="H208" s="212">
        <f t="shared" si="7"/>
        <v>2.0724648038303872E-3</v>
      </c>
    </row>
    <row r="209" spans="1:8" x14ac:dyDescent="0.3">
      <c r="A209" s="299">
        <v>45649</v>
      </c>
      <c r="B209" s="300">
        <v>5974.07</v>
      </c>
      <c r="C209" s="179">
        <f t="shared" si="6"/>
        <v>-1.0922113098588815E-2</v>
      </c>
      <c r="D209" s="300"/>
      <c r="E209" s="300"/>
      <c r="F209" s="299">
        <v>45649</v>
      </c>
      <c r="G209" s="14">
        <v>139.66999999999999</v>
      </c>
      <c r="H209" s="212">
        <f t="shared" si="7"/>
        <v>-3.9224076451291889E-3</v>
      </c>
    </row>
    <row r="210" spans="1:8" x14ac:dyDescent="0.3">
      <c r="A210" s="299">
        <v>45646</v>
      </c>
      <c r="B210" s="300">
        <v>5930.85</v>
      </c>
      <c r="C210" s="179">
        <f t="shared" si="6"/>
        <v>-7.2345988580648779E-3</v>
      </c>
      <c r="D210" s="300"/>
      <c r="E210" s="300"/>
      <c r="F210" s="299">
        <v>45646</v>
      </c>
      <c r="G210" s="14">
        <v>134.69999999999999</v>
      </c>
      <c r="H210" s="212">
        <f t="shared" si="7"/>
        <v>-3.5583876279802418E-2</v>
      </c>
    </row>
    <row r="211" spans="1:8" x14ac:dyDescent="0.3">
      <c r="A211" s="299">
        <v>45645</v>
      </c>
      <c r="B211" s="300">
        <v>5867.08</v>
      </c>
      <c r="C211" s="179">
        <f t="shared" si="6"/>
        <v>-1.0752253049731597E-2</v>
      </c>
      <c r="D211" s="300"/>
      <c r="E211" s="300"/>
      <c r="F211" s="299">
        <v>45645</v>
      </c>
      <c r="G211" s="14">
        <v>130.68</v>
      </c>
      <c r="H211" s="212">
        <f t="shared" si="7"/>
        <v>-2.9844097995545549E-2</v>
      </c>
    </row>
    <row r="212" spans="1:8" x14ac:dyDescent="0.3">
      <c r="A212" s="299">
        <v>45644</v>
      </c>
      <c r="B212" s="300">
        <v>5872.16</v>
      </c>
      <c r="C212" s="179">
        <f t="shared" si="6"/>
        <v>8.6584808797551815E-4</v>
      </c>
      <c r="D212" s="300"/>
      <c r="E212" s="300"/>
      <c r="F212" s="299">
        <v>45644</v>
      </c>
      <c r="G212" s="14">
        <v>128.91</v>
      </c>
      <c r="H212" s="212">
        <f t="shared" si="7"/>
        <v>-1.3544536271809071E-2</v>
      </c>
    </row>
    <row r="213" spans="1:8" x14ac:dyDescent="0.3">
      <c r="A213" s="299">
        <v>45643</v>
      </c>
      <c r="B213" s="300">
        <v>6050.61</v>
      </c>
      <c r="C213" s="179">
        <f t="shared" si="6"/>
        <v>3.0389158333560262E-2</v>
      </c>
      <c r="D213" s="300"/>
      <c r="E213" s="300"/>
      <c r="F213" s="299">
        <v>45643</v>
      </c>
      <c r="G213" s="14">
        <v>130.38999999999999</v>
      </c>
      <c r="H213" s="212">
        <f t="shared" si="7"/>
        <v>1.1480878132029915E-2</v>
      </c>
    </row>
    <row r="214" spans="1:8" x14ac:dyDescent="0.3">
      <c r="A214" s="299">
        <v>45642</v>
      </c>
      <c r="B214" s="300">
        <v>6074.08</v>
      </c>
      <c r="C214" s="179">
        <f t="shared" si="6"/>
        <v>3.8789477424590046E-3</v>
      </c>
      <c r="D214" s="300"/>
      <c r="E214" s="300"/>
      <c r="F214" s="299">
        <v>45642</v>
      </c>
      <c r="G214" s="14">
        <v>132</v>
      </c>
      <c r="H214" s="212">
        <f t="shared" si="7"/>
        <v>1.2347572666615569E-2</v>
      </c>
    </row>
    <row r="215" spans="1:8" x14ac:dyDescent="0.3">
      <c r="A215" s="299">
        <v>45639</v>
      </c>
      <c r="B215" s="300">
        <v>6051.09</v>
      </c>
      <c r="C215" s="179">
        <f t="shared" si="6"/>
        <v>-3.7849353317703782E-3</v>
      </c>
      <c r="D215" s="300"/>
      <c r="E215" s="300"/>
      <c r="F215" s="299">
        <v>45639</v>
      </c>
      <c r="G215" s="14">
        <v>134.25</v>
      </c>
      <c r="H215" s="212">
        <f t="shared" si="7"/>
        <v>1.7045454545454586E-2</v>
      </c>
    </row>
    <row r="216" spans="1:8" x14ac:dyDescent="0.3">
      <c r="A216" s="299">
        <v>45638</v>
      </c>
      <c r="B216" s="300">
        <v>6051.25</v>
      </c>
      <c r="C216" s="179">
        <f t="shared" si="6"/>
        <v>2.6441517148034777E-5</v>
      </c>
      <c r="D216" s="300"/>
      <c r="E216" s="300"/>
      <c r="F216" s="299">
        <v>45638</v>
      </c>
      <c r="G216" s="14">
        <v>137.34</v>
      </c>
      <c r="H216" s="212">
        <f t="shared" si="7"/>
        <v>2.3016759776536277E-2</v>
      </c>
    </row>
    <row r="217" spans="1:8" x14ac:dyDescent="0.3">
      <c r="A217" s="299">
        <v>45637</v>
      </c>
      <c r="B217" s="300">
        <v>6084.19</v>
      </c>
      <c r="C217" s="179">
        <f t="shared" si="6"/>
        <v>5.4435034083866185E-3</v>
      </c>
      <c r="D217" s="300"/>
      <c r="E217" s="300"/>
      <c r="F217" s="299">
        <v>45637</v>
      </c>
      <c r="G217" s="14">
        <v>139.31</v>
      </c>
      <c r="H217" s="212">
        <f t="shared" si="7"/>
        <v>1.4343963885248279E-2</v>
      </c>
    </row>
    <row r="218" spans="1:8" x14ac:dyDescent="0.3">
      <c r="A218" s="299">
        <v>45636</v>
      </c>
      <c r="B218" s="300">
        <v>6034.91</v>
      </c>
      <c r="C218" s="179">
        <f t="shared" si="6"/>
        <v>-8.0996813051531502E-3</v>
      </c>
      <c r="D218" s="300"/>
      <c r="E218" s="300"/>
      <c r="F218" s="299">
        <v>45636</v>
      </c>
      <c r="G218" s="14">
        <v>135.07</v>
      </c>
      <c r="H218" s="212">
        <f t="shared" si="7"/>
        <v>-3.0435718900294395E-2</v>
      </c>
    </row>
    <row r="219" spans="1:8" x14ac:dyDescent="0.3">
      <c r="A219" s="299">
        <v>45635</v>
      </c>
      <c r="B219" s="300">
        <v>6052.85</v>
      </c>
      <c r="C219" s="179">
        <f t="shared" si="6"/>
        <v>2.9727038182840726E-3</v>
      </c>
      <c r="D219" s="300"/>
      <c r="E219" s="300"/>
      <c r="F219" s="299">
        <v>45635</v>
      </c>
      <c r="G219" s="14">
        <v>138.81</v>
      </c>
      <c r="H219" s="212">
        <f t="shared" si="7"/>
        <v>2.7689346264899717E-2</v>
      </c>
    </row>
    <row r="220" spans="1:8" x14ac:dyDescent="0.3">
      <c r="A220" s="299">
        <v>45632</v>
      </c>
      <c r="B220" s="300">
        <v>6090.27</v>
      </c>
      <c r="C220" s="179">
        <f t="shared" si="6"/>
        <v>6.1822116854044484E-3</v>
      </c>
      <c r="D220" s="300"/>
      <c r="E220" s="300"/>
      <c r="F220" s="299">
        <v>45632</v>
      </c>
      <c r="G220" s="14">
        <v>142.44</v>
      </c>
      <c r="H220" s="212">
        <f t="shared" si="7"/>
        <v>2.6150853684892894E-2</v>
      </c>
    </row>
    <row r="221" spans="1:8" x14ac:dyDescent="0.3">
      <c r="A221" s="299">
        <v>45631</v>
      </c>
      <c r="B221" s="300">
        <v>6075.11</v>
      </c>
      <c r="C221" s="179">
        <f t="shared" si="6"/>
        <v>-2.4892164058408772E-3</v>
      </c>
      <c r="D221" s="300"/>
      <c r="E221" s="300"/>
      <c r="F221" s="299">
        <v>45631</v>
      </c>
      <c r="G221" s="14">
        <v>145.06</v>
      </c>
      <c r="H221" s="212">
        <f t="shared" si="7"/>
        <v>1.8393709632125832E-2</v>
      </c>
    </row>
    <row r="222" spans="1:8" x14ac:dyDescent="0.3">
      <c r="A222" s="299">
        <v>45630</v>
      </c>
      <c r="B222" s="300">
        <v>6086.49</v>
      </c>
      <c r="C222" s="179">
        <f t="shared" si="6"/>
        <v>1.8732171104720585E-3</v>
      </c>
      <c r="D222" s="300"/>
      <c r="E222" s="300"/>
      <c r="F222" s="299">
        <v>45630</v>
      </c>
      <c r="G222" s="14">
        <v>145.13999999999999</v>
      </c>
      <c r="H222" s="212">
        <f t="shared" si="7"/>
        <v>5.5149593271730524E-4</v>
      </c>
    </row>
    <row r="223" spans="1:8" x14ac:dyDescent="0.3">
      <c r="A223" s="299">
        <v>45629</v>
      </c>
      <c r="B223" s="300">
        <v>6049.88</v>
      </c>
      <c r="C223" s="179">
        <f t="shared" si="6"/>
        <v>-6.0149610037968371E-3</v>
      </c>
      <c r="D223" s="300"/>
      <c r="E223" s="300"/>
      <c r="F223" s="299">
        <v>45629</v>
      </c>
      <c r="G223" s="14">
        <v>140.26</v>
      </c>
      <c r="H223" s="212">
        <f t="shared" si="7"/>
        <v>-3.3622709108447002E-2</v>
      </c>
    </row>
    <row r="224" spans="1:8" x14ac:dyDescent="0.3">
      <c r="A224" s="299">
        <v>45628</v>
      </c>
      <c r="B224" s="300">
        <v>6047.15</v>
      </c>
      <c r="C224" s="179">
        <f t="shared" si="6"/>
        <v>-4.5124861980738729E-4</v>
      </c>
      <c r="D224" s="300"/>
      <c r="E224" s="300"/>
      <c r="F224" s="299">
        <v>45628</v>
      </c>
      <c r="G224" s="14">
        <v>138.63</v>
      </c>
      <c r="H224" s="212">
        <f t="shared" si="7"/>
        <v>-1.1621274775417079E-2</v>
      </c>
    </row>
    <row r="225" spans="1:8" x14ac:dyDescent="0.3">
      <c r="A225" s="299">
        <v>45625</v>
      </c>
      <c r="B225" s="300">
        <v>6032.38</v>
      </c>
      <c r="C225" s="179">
        <f t="shared" si="6"/>
        <v>-2.4424729004571821E-3</v>
      </c>
      <c r="D225" s="300"/>
      <c r="E225" s="300"/>
      <c r="F225" s="299">
        <v>45625</v>
      </c>
      <c r="G225" s="14">
        <v>138.25</v>
      </c>
      <c r="H225" s="212">
        <f t="shared" si="7"/>
        <v>-2.7411094279736758E-3</v>
      </c>
    </row>
    <row r="226" spans="1:8" x14ac:dyDescent="0.3">
      <c r="A226" s="299">
        <v>45623</v>
      </c>
      <c r="B226" s="300">
        <v>5998.74</v>
      </c>
      <c r="C226" s="179">
        <f t="shared" si="6"/>
        <v>-5.5765717676937721E-3</v>
      </c>
      <c r="D226" s="300"/>
      <c r="E226" s="300"/>
      <c r="F226" s="299">
        <v>45623</v>
      </c>
      <c r="G226" s="14">
        <v>135.34</v>
      </c>
      <c r="H226" s="212">
        <f t="shared" si="7"/>
        <v>-2.1048824593128401E-2</v>
      </c>
    </row>
    <row r="227" spans="1:8" x14ac:dyDescent="0.3">
      <c r="A227" s="299">
        <v>45622</v>
      </c>
      <c r="B227" s="300">
        <v>6021.63</v>
      </c>
      <c r="C227" s="179">
        <f t="shared" si="6"/>
        <v>3.8158013182769679E-3</v>
      </c>
      <c r="D227" s="300"/>
      <c r="E227" s="300"/>
      <c r="F227" s="299">
        <v>45622</v>
      </c>
      <c r="G227" s="14">
        <v>136.91999999999999</v>
      </c>
      <c r="H227" s="212">
        <f t="shared" si="7"/>
        <v>1.16743017585339E-2</v>
      </c>
    </row>
    <row r="228" spans="1:8" x14ac:dyDescent="0.3">
      <c r="A228" s="299">
        <v>45621</v>
      </c>
      <c r="B228" s="300">
        <v>5987.37</v>
      </c>
      <c r="C228" s="179">
        <f t="shared" si="6"/>
        <v>-5.6894893907464272E-3</v>
      </c>
      <c r="D228" s="300"/>
      <c r="E228" s="300"/>
      <c r="F228" s="299">
        <v>45621</v>
      </c>
      <c r="G228" s="14">
        <v>136.02000000000001</v>
      </c>
      <c r="H228" s="212">
        <f t="shared" si="7"/>
        <v>-6.573181419807006E-3</v>
      </c>
    </row>
    <row r="229" spans="1:8" x14ac:dyDescent="0.3">
      <c r="A229" s="299">
        <v>45618</v>
      </c>
      <c r="B229" s="300">
        <v>5969.34</v>
      </c>
      <c r="C229" s="179">
        <f t="shared" si="6"/>
        <v>-3.0113388683177256E-3</v>
      </c>
      <c r="D229" s="300"/>
      <c r="E229" s="300"/>
      <c r="F229" s="299">
        <v>45618</v>
      </c>
      <c r="G229" s="14">
        <v>141.94999999999999</v>
      </c>
      <c r="H229" s="212">
        <f t="shared" si="7"/>
        <v>4.3596529922070193E-2</v>
      </c>
    </row>
    <row r="230" spans="1:8" x14ac:dyDescent="0.3">
      <c r="A230" s="299">
        <v>45617</v>
      </c>
      <c r="B230" s="300">
        <v>5948.71</v>
      </c>
      <c r="C230" s="179">
        <f t="shared" si="6"/>
        <v>-3.4559934599135422E-3</v>
      </c>
      <c r="D230" s="300"/>
      <c r="E230" s="300"/>
      <c r="F230" s="299">
        <v>45617</v>
      </c>
      <c r="G230" s="14">
        <v>146.66999999999999</v>
      </c>
      <c r="H230" s="212">
        <f t="shared" si="7"/>
        <v>3.3251144769284924E-2</v>
      </c>
    </row>
    <row r="231" spans="1:8" x14ac:dyDescent="0.3">
      <c r="A231" s="299">
        <v>45616</v>
      </c>
      <c r="B231" s="300">
        <v>5917.11</v>
      </c>
      <c r="C231" s="179">
        <f t="shared" si="6"/>
        <v>-5.3120760635499975E-3</v>
      </c>
      <c r="D231" s="300"/>
      <c r="E231" s="300"/>
      <c r="F231" s="299">
        <v>45616</v>
      </c>
      <c r="G231" s="14">
        <v>145.88999999999999</v>
      </c>
      <c r="H231" s="212">
        <f t="shared" si="7"/>
        <v>-5.3180609531601197E-3</v>
      </c>
    </row>
    <row r="232" spans="1:8" x14ac:dyDescent="0.3">
      <c r="A232" s="299">
        <v>45615</v>
      </c>
      <c r="B232" s="300">
        <v>5916.98</v>
      </c>
      <c r="C232" s="179">
        <f t="shared" si="6"/>
        <v>-2.1970184769237733E-5</v>
      </c>
      <c r="D232" s="300"/>
      <c r="E232" s="300"/>
      <c r="F232" s="299">
        <v>45615</v>
      </c>
      <c r="G232" s="14">
        <v>147.01</v>
      </c>
      <c r="H232" s="212">
        <f t="shared" si="7"/>
        <v>7.6770169305642177E-3</v>
      </c>
    </row>
    <row r="233" spans="1:8" x14ac:dyDescent="0.3">
      <c r="A233" s="299">
        <v>45614</v>
      </c>
      <c r="B233" s="300">
        <v>5893.62</v>
      </c>
      <c r="C233" s="179">
        <f t="shared" si="6"/>
        <v>-3.9479599390228604E-3</v>
      </c>
      <c r="D233" s="300"/>
      <c r="E233" s="300"/>
      <c r="F233" s="299">
        <v>45614</v>
      </c>
      <c r="G233" s="14">
        <v>140.15</v>
      </c>
      <c r="H233" s="212">
        <f t="shared" si="7"/>
        <v>-4.6663492279436669E-2</v>
      </c>
    </row>
    <row r="234" spans="1:8" x14ac:dyDescent="0.3">
      <c r="A234" s="299">
        <v>45611</v>
      </c>
      <c r="B234" s="300">
        <v>5870.62</v>
      </c>
      <c r="C234" s="179">
        <f t="shared" si="6"/>
        <v>-3.9025251034169317E-3</v>
      </c>
      <c r="D234" s="300"/>
      <c r="E234" s="300"/>
      <c r="F234" s="299">
        <v>45611</v>
      </c>
      <c r="G234" s="14">
        <v>141.97999999999999</v>
      </c>
      <c r="H234" s="212">
        <f t="shared" si="7"/>
        <v>1.3057438458794035E-2</v>
      </c>
    </row>
    <row r="235" spans="1:8" x14ac:dyDescent="0.3">
      <c r="A235" s="299">
        <v>45610</v>
      </c>
      <c r="B235" s="300">
        <v>5949.17</v>
      </c>
      <c r="C235" s="179">
        <f t="shared" si="6"/>
        <v>1.3380188123230718E-2</v>
      </c>
      <c r="D235" s="300"/>
      <c r="E235" s="300"/>
      <c r="F235" s="299">
        <v>45610</v>
      </c>
      <c r="G235" s="14">
        <v>146.76</v>
      </c>
      <c r="H235" s="212">
        <f t="shared" si="7"/>
        <v>3.3666713621636868E-2</v>
      </c>
    </row>
    <row r="236" spans="1:8" x14ac:dyDescent="0.3">
      <c r="A236" s="299">
        <v>45609</v>
      </c>
      <c r="B236" s="300">
        <v>5985.38</v>
      </c>
      <c r="C236" s="179">
        <f t="shared" si="6"/>
        <v>6.0865633357258808E-3</v>
      </c>
      <c r="D236" s="300"/>
      <c r="E236" s="300"/>
      <c r="F236" s="299">
        <v>45609</v>
      </c>
      <c r="G236" s="14">
        <v>146.27000000000001</v>
      </c>
      <c r="H236" s="212">
        <f t="shared" si="7"/>
        <v>-3.3387844099208586E-3</v>
      </c>
    </row>
    <row r="237" spans="1:8" x14ac:dyDescent="0.3">
      <c r="A237" s="299">
        <v>45608</v>
      </c>
      <c r="B237" s="300">
        <v>5983.99</v>
      </c>
      <c r="C237" s="179">
        <f t="shared" si="6"/>
        <v>-2.3223253995574566E-4</v>
      </c>
      <c r="D237" s="300"/>
      <c r="E237" s="300"/>
      <c r="F237" s="299">
        <v>45608</v>
      </c>
      <c r="G237" s="14">
        <v>148.29</v>
      </c>
      <c r="H237" s="212">
        <f t="shared" si="7"/>
        <v>1.3810077254392539E-2</v>
      </c>
    </row>
    <row r="238" spans="1:8" x14ac:dyDescent="0.3">
      <c r="A238" s="299">
        <v>45607</v>
      </c>
      <c r="B238" s="300">
        <v>6001.35</v>
      </c>
      <c r="C238" s="179">
        <f t="shared" si="6"/>
        <v>2.9010743667687855E-3</v>
      </c>
      <c r="D238" s="300"/>
      <c r="E238" s="300"/>
      <c r="F238" s="299">
        <v>45607</v>
      </c>
      <c r="G238" s="14">
        <v>145.26</v>
      </c>
      <c r="H238" s="212">
        <f t="shared" si="7"/>
        <v>-2.0432935464292923E-2</v>
      </c>
    </row>
    <row r="239" spans="1:8" x14ac:dyDescent="0.3">
      <c r="A239" s="299">
        <v>45604</v>
      </c>
      <c r="B239" s="300">
        <v>5995.54</v>
      </c>
      <c r="C239" s="179">
        <f t="shared" si="6"/>
        <v>-9.6811550734421381E-4</v>
      </c>
      <c r="D239" s="300"/>
      <c r="E239" s="300"/>
      <c r="F239" s="299">
        <v>45604</v>
      </c>
      <c r="G239" s="14">
        <v>147.63</v>
      </c>
      <c r="H239" s="212">
        <f t="shared" si="7"/>
        <v>1.6315572077653995E-2</v>
      </c>
    </row>
    <row r="240" spans="1:8" x14ac:dyDescent="0.3">
      <c r="A240" s="299">
        <v>45603</v>
      </c>
      <c r="B240" s="300">
        <v>5973.1</v>
      </c>
      <c r="C240" s="179">
        <f t="shared" si="6"/>
        <v>-3.742782134720124E-3</v>
      </c>
      <c r="D240" s="300"/>
      <c r="E240" s="300"/>
      <c r="F240" s="299">
        <v>45603</v>
      </c>
      <c r="G240" s="14">
        <v>148.88</v>
      </c>
      <c r="H240" s="212">
        <f t="shared" si="7"/>
        <v>8.467113730271647E-3</v>
      </c>
    </row>
    <row r="241" spans="1:8" x14ac:dyDescent="0.3">
      <c r="A241" s="299">
        <v>45602</v>
      </c>
      <c r="B241" s="300">
        <v>5929.04</v>
      </c>
      <c r="C241" s="179">
        <f t="shared" si="6"/>
        <v>-7.3764042122181905E-3</v>
      </c>
      <c r="D241" s="300"/>
      <c r="E241" s="300"/>
      <c r="F241" s="299">
        <v>45602</v>
      </c>
      <c r="G241" s="14">
        <v>145.61000000000001</v>
      </c>
      <c r="H241" s="212">
        <f t="shared" si="7"/>
        <v>-2.1963997850617867E-2</v>
      </c>
    </row>
    <row r="242" spans="1:8" x14ac:dyDescent="0.3">
      <c r="A242" s="299">
        <v>45601</v>
      </c>
      <c r="B242" s="300">
        <v>5782.76</v>
      </c>
      <c r="C242" s="179">
        <f t="shared" si="6"/>
        <v>-2.4671784976994515E-2</v>
      </c>
      <c r="D242" s="300"/>
      <c r="E242" s="300"/>
      <c r="F242" s="299">
        <v>45601</v>
      </c>
      <c r="G242" s="14">
        <v>139.91</v>
      </c>
      <c r="H242" s="212">
        <f t="shared" si="7"/>
        <v>-3.9145663072591264E-2</v>
      </c>
    </row>
    <row r="243" spans="1:8" x14ac:dyDescent="0.3">
      <c r="A243" s="299">
        <v>45600</v>
      </c>
      <c r="B243" s="300">
        <v>5712.69</v>
      </c>
      <c r="C243" s="179">
        <f t="shared" si="6"/>
        <v>-1.2117051373392695E-2</v>
      </c>
      <c r="D243" s="300"/>
      <c r="E243" s="300"/>
      <c r="F243" s="299">
        <v>45600</v>
      </c>
      <c r="G243" s="14">
        <v>136.05000000000001</v>
      </c>
      <c r="H243" s="212">
        <f t="shared" si="7"/>
        <v>-2.7589164462868854E-2</v>
      </c>
    </row>
    <row r="244" spans="1:8" x14ac:dyDescent="0.3">
      <c r="A244" s="299">
        <v>45597</v>
      </c>
      <c r="B244" s="300">
        <v>5728.8</v>
      </c>
      <c r="C244" s="179">
        <f t="shared" si="6"/>
        <v>2.820037495470773E-3</v>
      </c>
      <c r="D244" s="300"/>
      <c r="E244" s="300"/>
      <c r="F244" s="299">
        <v>45597</v>
      </c>
      <c r="G244" s="14">
        <v>135.4</v>
      </c>
      <c r="H244" s="212">
        <f t="shared" si="7"/>
        <v>-4.7776552737964773E-3</v>
      </c>
    </row>
    <row r="245" spans="1:8" x14ac:dyDescent="0.3">
      <c r="A245" s="299">
        <v>45596</v>
      </c>
      <c r="B245" s="300">
        <v>5705.45</v>
      </c>
      <c r="C245" s="179">
        <f t="shared" si="6"/>
        <v>-4.0758972210586109E-3</v>
      </c>
      <c r="D245" s="300"/>
      <c r="E245" s="300"/>
      <c r="F245" s="299">
        <v>45596</v>
      </c>
      <c r="G245" s="14">
        <v>132.76</v>
      </c>
      <c r="H245" s="212">
        <f t="shared" si="7"/>
        <v>-1.9497784342688451E-2</v>
      </c>
    </row>
    <row r="246" spans="1:8" x14ac:dyDescent="0.3">
      <c r="A246" s="299">
        <v>45595</v>
      </c>
      <c r="B246" s="300">
        <v>5813.67</v>
      </c>
      <c r="C246" s="179">
        <f t="shared" si="6"/>
        <v>1.8967829005599901E-2</v>
      </c>
      <c r="D246" s="300"/>
      <c r="E246" s="300"/>
      <c r="F246" s="299">
        <v>45595</v>
      </c>
      <c r="G246" s="14">
        <v>139.34</v>
      </c>
      <c r="H246" s="212">
        <f t="shared" si="7"/>
        <v>4.9563121422115275E-2</v>
      </c>
    </row>
    <row r="247" spans="1:8" x14ac:dyDescent="0.3">
      <c r="A247" s="299">
        <v>45594</v>
      </c>
      <c r="B247" s="300">
        <v>5832.92</v>
      </c>
      <c r="C247" s="179">
        <f t="shared" si="6"/>
        <v>3.3111614522323141E-3</v>
      </c>
      <c r="D247" s="300"/>
      <c r="E247" s="300"/>
      <c r="F247" s="299">
        <v>45594</v>
      </c>
      <c r="G247" s="14">
        <v>141.25</v>
      </c>
      <c r="H247" s="212">
        <f t="shared" si="7"/>
        <v>1.3707478111095073E-2</v>
      </c>
    </row>
    <row r="248" spans="1:8" x14ac:dyDescent="0.3">
      <c r="A248" s="299">
        <v>45593</v>
      </c>
      <c r="B248" s="300">
        <v>5823.52</v>
      </c>
      <c r="C248" s="179">
        <f t="shared" si="6"/>
        <v>-1.6115427607441557E-3</v>
      </c>
      <c r="D248" s="300"/>
      <c r="E248" s="300"/>
      <c r="F248" s="299">
        <v>45593</v>
      </c>
      <c r="G248" s="14">
        <v>140.52000000000001</v>
      </c>
      <c r="H248" s="212">
        <f t="shared" si="7"/>
        <v>-5.1681415929202279E-3</v>
      </c>
    </row>
    <row r="249" spans="1:8" x14ac:dyDescent="0.3">
      <c r="A249" s="299">
        <v>45590</v>
      </c>
      <c r="B249" s="300">
        <v>5808.12</v>
      </c>
      <c r="C249" s="179">
        <f t="shared" si="6"/>
        <v>-2.6444487183010512E-3</v>
      </c>
      <c r="D249" s="300"/>
      <c r="E249" s="300"/>
      <c r="F249" s="299">
        <v>45590</v>
      </c>
      <c r="G249" s="14">
        <v>141.54</v>
      </c>
      <c r="H249" s="212">
        <f t="shared" si="7"/>
        <v>7.2587532023908885E-3</v>
      </c>
    </row>
    <row r="250" spans="1:8" x14ac:dyDescent="0.3">
      <c r="A250" s="299">
        <v>45589</v>
      </c>
      <c r="B250" s="300">
        <v>5809.86</v>
      </c>
      <c r="C250" s="179">
        <f t="shared" si="6"/>
        <v>2.995805871779389E-4</v>
      </c>
      <c r="D250" s="300"/>
      <c r="E250" s="300"/>
      <c r="F250" s="299">
        <v>45589</v>
      </c>
      <c r="G250" s="14">
        <v>140.41</v>
      </c>
      <c r="H250" s="212">
        <f t="shared" si="7"/>
        <v>-7.98360887381655E-3</v>
      </c>
    </row>
    <row r="251" spans="1:8" x14ac:dyDescent="0.3">
      <c r="A251" s="299">
        <v>45588</v>
      </c>
      <c r="B251" s="300">
        <v>5797.42</v>
      </c>
      <c r="C251" s="179">
        <f t="shared" si="6"/>
        <v>-2.1411875673423841E-3</v>
      </c>
      <c r="D251" s="300"/>
      <c r="E251" s="300"/>
      <c r="F251" s="299">
        <v>45588</v>
      </c>
      <c r="G251" s="14">
        <v>139.56</v>
      </c>
      <c r="H251" s="212">
        <f t="shared" si="7"/>
        <v>-6.053699878926011E-3</v>
      </c>
    </row>
    <row r="252" spans="1:8" x14ac:dyDescent="0.3">
      <c r="A252" s="299">
        <v>45587</v>
      </c>
      <c r="B252" s="300">
        <v>5851.2</v>
      </c>
      <c r="C252" s="179">
        <f t="shared" si="6"/>
        <v>9.2765402541130637E-3</v>
      </c>
      <c r="D252" s="300"/>
      <c r="E252" s="300"/>
      <c r="F252" s="299">
        <v>45587</v>
      </c>
      <c r="G252" s="14">
        <v>143.59</v>
      </c>
      <c r="H252" s="212">
        <f t="shared" si="7"/>
        <v>2.8876468902264252E-2</v>
      </c>
    </row>
    <row r="253" spans="1:8" x14ac:dyDescent="0.3">
      <c r="A253" s="299">
        <v>45586</v>
      </c>
      <c r="B253" s="300">
        <v>5853.98</v>
      </c>
      <c r="C253" s="179">
        <f t="shared" si="6"/>
        <v>4.7511621547702276E-4</v>
      </c>
      <c r="D253" s="300"/>
      <c r="E253" s="300"/>
      <c r="F253" s="299">
        <v>45586</v>
      </c>
      <c r="G253" s="14">
        <v>143.71</v>
      </c>
      <c r="H253" s="212">
        <f t="shared" si="7"/>
        <v>8.357127933700248E-4</v>
      </c>
    </row>
    <row r="254" spans="1:8" x14ac:dyDescent="0.3">
      <c r="A254" s="299">
        <v>45583</v>
      </c>
      <c r="B254" s="300">
        <v>5864.67</v>
      </c>
      <c r="C254" s="179">
        <f t="shared" si="6"/>
        <v>1.8261080495662885E-3</v>
      </c>
      <c r="D254" s="300"/>
      <c r="E254" s="300"/>
      <c r="F254" s="299">
        <v>45583</v>
      </c>
      <c r="G254" s="14">
        <v>138</v>
      </c>
      <c r="H254" s="212">
        <f t="shared" si="7"/>
        <v>-3.9732795212580996E-2</v>
      </c>
    </row>
    <row r="255" spans="1:8" x14ac:dyDescent="0.3">
      <c r="A255" s="299">
        <v>45582</v>
      </c>
      <c r="B255" s="300">
        <v>5841.47</v>
      </c>
      <c r="C255" s="179">
        <f t="shared" si="6"/>
        <v>-3.9558918063590243E-3</v>
      </c>
      <c r="D255" s="300"/>
      <c r="E255" s="300"/>
      <c r="F255" s="299">
        <v>45582</v>
      </c>
      <c r="G255" s="14">
        <v>136.93</v>
      </c>
      <c r="H255" s="212">
        <f t="shared" si="7"/>
        <v>-7.7536231884057782E-3</v>
      </c>
    </row>
    <row r="256" spans="1:8" x14ac:dyDescent="0.3">
      <c r="A256" s="299">
        <v>45581</v>
      </c>
      <c r="B256" s="300">
        <v>5842.47</v>
      </c>
      <c r="C256" s="179">
        <f t="shared" si="6"/>
        <v>1.7118978613250846E-4</v>
      </c>
      <c r="D256" s="300"/>
      <c r="E256" s="300"/>
      <c r="F256" s="299">
        <v>45581</v>
      </c>
      <c r="G256" s="14">
        <v>135.72</v>
      </c>
      <c r="H256" s="212">
        <f t="shared" si="7"/>
        <v>-8.8366318556927226E-3</v>
      </c>
    </row>
    <row r="257" spans="1:8" x14ac:dyDescent="0.3">
      <c r="A257" s="299">
        <v>45580</v>
      </c>
      <c r="B257" s="300">
        <v>5815.26</v>
      </c>
      <c r="C257" s="179">
        <f t="shared" si="6"/>
        <v>-4.657276802448318E-3</v>
      </c>
      <c r="D257" s="300"/>
      <c r="E257" s="300"/>
      <c r="F257" s="299">
        <v>45580</v>
      </c>
      <c r="G257" s="14">
        <v>131.6</v>
      </c>
      <c r="H257" s="212">
        <f t="shared" si="7"/>
        <v>-3.0356616563513183E-2</v>
      </c>
    </row>
    <row r="258" spans="1:8" x14ac:dyDescent="0.3">
      <c r="A258" s="299">
        <v>45579</v>
      </c>
      <c r="B258" s="300">
        <v>5859.85</v>
      </c>
      <c r="C258" s="179">
        <f t="shared" si="6"/>
        <v>7.6677569016689873E-3</v>
      </c>
      <c r="D258" s="300"/>
      <c r="E258" s="300"/>
      <c r="F258" s="299">
        <v>45579</v>
      </c>
      <c r="G258" s="14">
        <v>138.07</v>
      </c>
      <c r="H258" s="212">
        <f t="shared" si="7"/>
        <v>4.9164133738601734E-2</v>
      </c>
    </row>
    <row r="259" spans="1:8" x14ac:dyDescent="0.3">
      <c r="A259" s="299">
        <v>45576</v>
      </c>
      <c r="B259" s="300">
        <v>5815.03</v>
      </c>
      <c r="C259" s="179">
        <f t="shared" si="6"/>
        <v>-7.6486599486336182E-3</v>
      </c>
      <c r="D259" s="300"/>
      <c r="E259" s="300"/>
      <c r="F259" s="299">
        <v>45576</v>
      </c>
      <c r="G259" s="14">
        <v>134.80000000000001</v>
      </c>
      <c r="H259" s="212">
        <f t="shared" si="7"/>
        <v>-2.3683638733975387E-2</v>
      </c>
    </row>
    <row r="260" spans="1:8" x14ac:dyDescent="0.3">
      <c r="A260" s="299">
        <v>45575</v>
      </c>
      <c r="B260" s="300">
        <v>5780.05</v>
      </c>
      <c r="C260" s="179">
        <f t="shared" si="6"/>
        <v>-6.0154461799852843E-3</v>
      </c>
      <c r="D260" s="300"/>
      <c r="E260" s="300"/>
      <c r="F260" s="299">
        <v>45575</v>
      </c>
      <c r="G260" s="14">
        <v>134.81</v>
      </c>
      <c r="H260" s="212">
        <f t="shared" si="7"/>
        <v>7.4183976261021911E-5</v>
      </c>
    </row>
    <row r="261" spans="1:8" x14ac:dyDescent="0.3">
      <c r="A261" s="299">
        <v>45574</v>
      </c>
      <c r="B261" s="300">
        <v>5792.04</v>
      </c>
      <c r="C261" s="179">
        <f t="shared" si="6"/>
        <v>2.0743765192341446E-3</v>
      </c>
      <c r="D261" s="300"/>
      <c r="E261" s="300"/>
      <c r="F261" s="299">
        <v>45574</v>
      </c>
      <c r="G261" s="14">
        <v>132.65</v>
      </c>
      <c r="H261" s="212">
        <f t="shared" si="7"/>
        <v>-1.6022550255915702E-2</v>
      </c>
    </row>
    <row r="262" spans="1:8" x14ac:dyDescent="0.3">
      <c r="A262" s="299">
        <v>45573</v>
      </c>
      <c r="B262" s="300">
        <v>5751.13</v>
      </c>
      <c r="C262" s="179">
        <f t="shared" ref="C262:C325" si="8">B262/B261-1</f>
        <v>-7.0631418291310366E-3</v>
      </c>
      <c r="D262" s="300"/>
      <c r="E262" s="300"/>
      <c r="F262" s="299">
        <v>45573</v>
      </c>
      <c r="G262" s="14">
        <v>132.88999999999999</v>
      </c>
      <c r="H262" s="212">
        <f t="shared" ref="H262:H325" si="9">G262/G261-1</f>
        <v>1.8092725216733996E-3</v>
      </c>
    </row>
    <row r="263" spans="1:8" x14ac:dyDescent="0.3">
      <c r="A263" s="299">
        <v>45572</v>
      </c>
      <c r="B263" s="300">
        <v>5695.94</v>
      </c>
      <c r="C263" s="179">
        <f t="shared" si="8"/>
        <v>-9.596374973266264E-3</v>
      </c>
      <c r="D263" s="300"/>
      <c r="E263" s="300"/>
      <c r="F263" s="299">
        <v>45572</v>
      </c>
      <c r="G263" s="14">
        <v>127.72</v>
      </c>
      <c r="H263" s="212">
        <f t="shared" si="9"/>
        <v>-3.8904356986981581E-2</v>
      </c>
    </row>
    <row r="264" spans="1:8" x14ac:dyDescent="0.3">
      <c r="A264" s="299">
        <v>45569</v>
      </c>
      <c r="B264" s="300">
        <v>5751.07</v>
      </c>
      <c r="C264" s="179">
        <f t="shared" si="8"/>
        <v>9.6788238640155289E-3</v>
      </c>
      <c r="D264" s="300"/>
      <c r="E264" s="300"/>
      <c r="F264" s="299">
        <v>45569</v>
      </c>
      <c r="G264" s="14">
        <v>124.92</v>
      </c>
      <c r="H264" s="212">
        <f t="shared" si="9"/>
        <v>-2.1922956467272159E-2</v>
      </c>
    </row>
    <row r="265" spans="1:8" x14ac:dyDescent="0.3">
      <c r="A265" s="299">
        <v>45568</v>
      </c>
      <c r="B265" s="300">
        <v>5699.94</v>
      </c>
      <c r="C265" s="179">
        <f t="shared" si="8"/>
        <v>-8.8905195033271989E-3</v>
      </c>
      <c r="D265" s="300"/>
      <c r="E265" s="300"/>
      <c r="F265" s="299">
        <v>45568</v>
      </c>
      <c r="G265" s="14">
        <v>122.85</v>
      </c>
      <c r="H265" s="212">
        <f t="shared" si="9"/>
        <v>-1.6570605187319898E-2</v>
      </c>
    </row>
    <row r="266" spans="1:8" x14ac:dyDescent="0.3">
      <c r="A266" s="299">
        <v>45567</v>
      </c>
      <c r="B266" s="300">
        <v>5709.54</v>
      </c>
      <c r="C266" s="179">
        <f t="shared" si="8"/>
        <v>1.6842282550342258E-3</v>
      </c>
      <c r="D266" s="300"/>
      <c r="E266" s="300"/>
      <c r="F266" s="299">
        <v>45567</v>
      </c>
      <c r="G266" s="14">
        <v>118.85</v>
      </c>
      <c r="H266" s="212">
        <f t="shared" si="9"/>
        <v>-3.2560032560032592E-2</v>
      </c>
    </row>
    <row r="267" spans="1:8" x14ac:dyDescent="0.3">
      <c r="A267" s="299">
        <v>45566</v>
      </c>
      <c r="B267" s="300">
        <v>5708.75</v>
      </c>
      <c r="C267" s="179">
        <f t="shared" si="8"/>
        <v>-1.3836491205942991E-4</v>
      </c>
      <c r="D267" s="300"/>
      <c r="E267" s="300"/>
      <c r="F267" s="299">
        <v>45566</v>
      </c>
      <c r="G267" s="14">
        <v>117</v>
      </c>
      <c r="H267" s="212">
        <f t="shared" si="9"/>
        <v>-1.5565839293226746E-2</v>
      </c>
    </row>
    <row r="268" spans="1:8" x14ac:dyDescent="0.3">
      <c r="A268" s="299">
        <v>45565</v>
      </c>
      <c r="B268" s="300">
        <v>5762.48</v>
      </c>
      <c r="C268" s="179">
        <f t="shared" si="8"/>
        <v>9.4118677468797429E-3</v>
      </c>
      <c r="D268" s="300"/>
      <c r="E268" s="300"/>
      <c r="F268" s="299">
        <v>45565</v>
      </c>
      <c r="G268" s="14">
        <v>121.44</v>
      </c>
      <c r="H268" s="212">
        <f t="shared" si="9"/>
        <v>3.7948717948717903E-2</v>
      </c>
    </row>
    <row r="269" spans="1:8" x14ac:dyDescent="0.3">
      <c r="A269" s="299">
        <v>45562</v>
      </c>
      <c r="B269" s="300">
        <v>5738.17</v>
      </c>
      <c r="C269" s="179">
        <f t="shared" si="8"/>
        <v>-4.2186697394176464E-3</v>
      </c>
      <c r="D269" s="300"/>
      <c r="E269" s="300"/>
      <c r="F269" s="299">
        <v>45562</v>
      </c>
      <c r="G269" s="14">
        <v>121.4</v>
      </c>
      <c r="H269" s="212">
        <f t="shared" si="9"/>
        <v>-3.2938076416333395E-4</v>
      </c>
    </row>
    <row r="270" spans="1:8" x14ac:dyDescent="0.3">
      <c r="A270" s="299">
        <v>45561</v>
      </c>
      <c r="B270" s="300">
        <v>5745.37</v>
      </c>
      <c r="C270" s="179">
        <f t="shared" si="8"/>
        <v>1.2547554359665369E-3</v>
      </c>
      <c r="D270" s="300"/>
      <c r="E270" s="300"/>
      <c r="F270" s="299">
        <v>45561</v>
      </c>
      <c r="G270" s="14">
        <v>124.04</v>
      </c>
      <c r="H270" s="212">
        <f t="shared" si="9"/>
        <v>2.1746293245469506E-2</v>
      </c>
    </row>
    <row r="271" spans="1:8" x14ac:dyDescent="0.3">
      <c r="A271" s="299">
        <v>45560</v>
      </c>
      <c r="B271" s="300">
        <v>5722.26</v>
      </c>
      <c r="C271" s="179">
        <f t="shared" si="8"/>
        <v>-4.0223693165104546E-3</v>
      </c>
      <c r="D271" s="300"/>
      <c r="E271" s="300"/>
      <c r="F271" s="299">
        <v>45560</v>
      </c>
      <c r="G271" s="14">
        <v>123.51</v>
      </c>
      <c r="H271" s="212">
        <f t="shared" si="9"/>
        <v>-4.2728152208965087E-3</v>
      </c>
    </row>
    <row r="272" spans="1:8" x14ac:dyDescent="0.3">
      <c r="A272" s="299">
        <v>45559</v>
      </c>
      <c r="B272" s="300">
        <v>5732.93</v>
      </c>
      <c r="C272" s="179">
        <f t="shared" si="8"/>
        <v>1.8646478838779679E-3</v>
      </c>
      <c r="D272" s="300"/>
      <c r="E272" s="300"/>
      <c r="F272" s="299">
        <v>45559</v>
      </c>
      <c r="G272" s="14">
        <v>120.87</v>
      </c>
      <c r="H272" s="212">
        <f t="shared" si="9"/>
        <v>-2.137478746660193E-2</v>
      </c>
    </row>
    <row r="273" spans="1:8" x14ac:dyDescent="0.3">
      <c r="A273" s="299">
        <v>45558</v>
      </c>
      <c r="B273" s="300">
        <v>5718.57</v>
      </c>
      <c r="C273" s="179">
        <f t="shared" si="8"/>
        <v>-2.5048273744839866E-3</v>
      </c>
      <c r="D273" s="300"/>
      <c r="E273" s="300"/>
      <c r="F273" s="299">
        <v>45558</v>
      </c>
      <c r="G273" s="14">
        <v>116.26</v>
      </c>
      <c r="H273" s="212">
        <f t="shared" si="9"/>
        <v>-3.8140150574997977E-2</v>
      </c>
    </row>
    <row r="274" spans="1:8" x14ac:dyDescent="0.3">
      <c r="A274" s="299">
        <v>45555</v>
      </c>
      <c r="B274" s="300">
        <v>5702.55</v>
      </c>
      <c r="C274" s="179">
        <f t="shared" si="8"/>
        <v>-2.8013996506118799E-3</v>
      </c>
      <c r="D274" s="300"/>
      <c r="E274" s="300"/>
      <c r="F274" s="299">
        <v>45555</v>
      </c>
      <c r="G274" s="14">
        <v>116</v>
      </c>
      <c r="H274" s="212">
        <f t="shared" si="9"/>
        <v>-2.2363667641494001E-3</v>
      </c>
    </row>
    <row r="275" spans="1:8" x14ac:dyDescent="0.3">
      <c r="A275" s="299">
        <v>45554</v>
      </c>
      <c r="B275" s="300">
        <v>5713.64</v>
      </c>
      <c r="C275" s="179">
        <f t="shared" si="8"/>
        <v>1.9447440180271336E-3</v>
      </c>
      <c r="D275" s="300"/>
      <c r="E275" s="300"/>
      <c r="F275" s="299">
        <v>45554</v>
      </c>
      <c r="G275" s="14">
        <v>117.87</v>
      </c>
      <c r="H275" s="212">
        <f t="shared" si="9"/>
        <v>1.6120689655172438E-2</v>
      </c>
    </row>
    <row r="276" spans="1:8" x14ac:dyDescent="0.3">
      <c r="A276" s="299">
        <v>45553</v>
      </c>
      <c r="B276" s="300">
        <v>5618.26</v>
      </c>
      <c r="C276" s="179">
        <f t="shared" si="8"/>
        <v>-1.6693386352657824E-2</v>
      </c>
      <c r="D276" s="300"/>
      <c r="E276" s="300"/>
      <c r="F276" s="299">
        <v>45553</v>
      </c>
      <c r="G276" s="14">
        <v>113.37</v>
      </c>
      <c r="H276" s="212">
        <f t="shared" si="9"/>
        <v>-3.8177653346907592E-2</v>
      </c>
    </row>
    <row r="277" spans="1:8" x14ac:dyDescent="0.3">
      <c r="A277" s="299">
        <v>45552</v>
      </c>
      <c r="B277" s="300">
        <v>5634.58</v>
      </c>
      <c r="C277" s="179">
        <f t="shared" si="8"/>
        <v>2.904813945954654E-3</v>
      </c>
      <c r="D277" s="300"/>
      <c r="E277" s="300"/>
      <c r="F277" s="299">
        <v>45552</v>
      </c>
      <c r="G277" s="14">
        <v>115.59</v>
      </c>
      <c r="H277" s="212">
        <f t="shared" si="9"/>
        <v>1.9581899973537986E-2</v>
      </c>
    </row>
    <row r="278" spans="1:8" x14ac:dyDescent="0.3">
      <c r="A278" s="299">
        <v>45551</v>
      </c>
      <c r="B278" s="300">
        <v>5633.09</v>
      </c>
      <c r="C278" s="179">
        <f t="shared" si="8"/>
        <v>-2.6443852070601181E-4</v>
      </c>
      <c r="D278" s="300"/>
      <c r="E278" s="300"/>
      <c r="F278" s="299">
        <v>45551</v>
      </c>
      <c r="G278" s="14">
        <v>116.78</v>
      </c>
      <c r="H278" s="212">
        <f t="shared" si="9"/>
        <v>1.0295008218704105E-2</v>
      </c>
    </row>
    <row r="279" spans="1:8" x14ac:dyDescent="0.3">
      <c r="A279" s="299">
        <v>45548</v>
      </c>
      <c r="B279" s="300">
        <v>5626.02</v>
      </c>
      <c r="C279" s="179">
        <f t="shared" si="8"/>
        <v>-1.2550837994776964E-3</v>
      </c>
      <c r="D279" s="300"/>
      <c r="E279" s="300"/>
      <c r="F279" s="299">
        <v>45548</v>
      </c>
      <c r="G279" s="14">
        <v>119.1</v>
      </c>
      <c r="H279" s="212">
        <f t="shared" si="9"/>
        <v>1.9866415482103106E-2</v>
      </c>
    </row>
    <row r="280" spans="1:8" x14ac:dyDescent="0.3">
      <c r="A280" s="299">
        <v>45547</v>
      </c>
      <c r="B280" s="300">
        <v>5595.76</v>
      </c>
      <c r="C280" s="179">
        <f t="shared" si="8"/>
        <v>-5.3785802396720817E-3</v>
      </c>
      <c r="D280" s="300"/>
      <c r="E280" s="300"/>
      <c r="F280" s="299">
        <v>45547</v>
      </c>
      <c r="G280" s="14">
        <v>119.14</v>
      </c>
      <c r="H280" s="212">
        <f t="shared" si="9"/>
        <v>3.3585222502097167E-4</v>
      </c>
    </row>
    <row r="281" spans="1:8" x14ac:dyDescent="0.3">
      <c r="A281" s="299">
        <v>45546</v>
      </c>
      <c r="B281" s="300">
        <v>5554.13</v>
      </c>
      <c r="C281" s="179">
        <f t="shared" si="8"/>
        <v>-7.4395613821893747E-3</v>
      </c>
      <c r="D281" s="300"/>
      <c r="E281" s="300"/>
      <c r="F281" s="299">
        <v>45546</v>
      </c>
      <c r="G281" s="14">
        <v>116.91</v>
      </c>
      <c r="H281" s="212">
        <f t="shared" si="9"/>
        <v>-1.8717475239214409E-2</v>
      </c>
    </row>
    <row r="282" spans="1:8" x14ac:dyDescent="0.3">
      <c r="A282" s="299">
        <v>45545</v>
      </c>
      <c r="B282" s="300">
        <v>5495.52</v>
      </c>
      <c r="C282" s="179">
        <f t="shared" si="8"/>
        <v>-1.055250777349459E-2</v>
      </c>
      <c r="D282" s="300"/>
      <c r="E282" s="300"/>
      <c r="F282" s="299">
        <v>45545</v>
      </c>
      <c r="G282" s="14">
        <v>108.1</v>
      </c>
      <c r="H282" s="212">
        <f t="shared" si="9"/>
        <v>-7.5357112308613527E-2</v>
      </c>
    </row>
    <row r="283" spans="1:8" x14ac:dyDescent="0.3">
      <c r="A283" s="299">
        <v>45544</v>
      </c>
      <c r="B283" s="300">
        <v>5471.05</v>
      </c>
      <c r="C283" s="179">
        <f t="shared" si="8"/>
        <v>-4.4527178501762021E-3</v>
      </c>
      <c r="D283" s="300"/>
      <c r="E283" s="300"/>
      <c r="F283" s="299">
        <v>45544</v>
      </c>
      <c r="G283" s="14">
        <v>106.47</v>
      </c>
      <c r="H283" s="212">
        <f t="shared" si="9"/>
        <v>-1.5078630897317202E-2</v>
      </c>
    </row>
    <row r="284" spans="1:8" x14ac:dyDescent="0.3">
      <c r="A284" s="299">
        <v>45541</v>
      </c>
      <c r="B284" s="300">
        <v>5408.42</v>
      </c>
      <c r="C284" s="179">
        <f t="shared" si="8"/>
        <v>-1.1447528353789482E-2</v>
      </c>
      <c r="D284" s="300"/>
      <c r="E284" s="300"/>
      <c r="F284" s="299">
        <v>45541</v>
      </c>
      <c r="G284" s="14">
        <v>102.83</v>
      </c>
      <c r="H284" s="212">
        <f t="shared" si="9"/>
        <v>-3.4188034188034178E-2</v>
      </c>
    </row>
    <row r="285" spans="1:8" x14ac:dyDescent="0.3">
      <c r="A285" s="299">
        <v>45540</v>
      </c>
      <c r="B285" s="300">
        <v>5503.41</v>
      </c>
      <c r="C285" s="179">
        <f t="shared" si="8"/>
        <v>1.7563354916962703E-2</v>
      </c>
      <c r="D285" s="300"/>
      <c r="E285" s="300"/>
      <c r="F285" s="299">
        <v>45540</v>
      </c>
      <c r="G285" s="14">
        <v>107.21</v>
      </c>
      <c r="H285" s="212">
        <f t="shared" si="9"/>
        <v>4.2594573568024874E-2</v>
      </c>
    </row>
    <row r="286" spans="1:8" x14ac:dyDescent="0.3">
      <c r="A286" s="299">
        <v>45539</v>
      </c>
      <c r="B286" s="300">
        <v>5520.07</v>
      </c>
      <c r="C286" s="179">
        <f t="shared" si="8"/>
        <v>3.0272140363882816E-3</v>
      </c>
      <c r="D286" s="300"/>
      <c r="E286" s="300"/>
      <c r="F286" s="299">
        <v>45539</v>
      </c>
      <c r="G286" s="14">
        <v>106.21</v>
      </c>
      <c r="H286" s="212">
        <f t="shared" si="9"/>
        <v>-9.3274881074526528E-3</v>
      </c>
    </row>
    <row r="287" spans="1:8" x14ac:dyDescent="0.3">
      <c r="A287" s="299">
        <v>45538</v>
      </c>
      <c r="B287" s="300">
        <v>5528.93</v>
      </c>
      <c r="C287" s="179">
        <f t="shared" si="8"/>
        <v>1.6050521098465165E-3</v>
      </c>
      <c r="D287" s="300"/>
      <c r="E287" s="300"/>
      <c r="F287" s="299">
        <v>45538</v>
      </c>
      <c r="G287" s="14">
        <v>108</v>
      </c>
      <c r="H287" s="212">
        <f t="shared" si="9"/>
        <v>1.6853403634309538E-2</v>
      </c>
    </row>
    <row r="288" spans="1:8" x14ac:dyDescent="0.3">
      <c r="A288" s="299">
        <v>45534</v>
      </c>
      <c r="B288" s="300">
        <v>5648.4</v>
      </c>
      <c r="C288" s="179">
        <f t="shared" si="8"/>
        <v>2.1608159264088878E-2</v>
      </c>
      <c r="D288" s="300"/>
      <c r="E288" s="300"/>
      <c r="F288" s="299">
        <v>45534</v>
      </c>
      <c r="G288" s="14">
        <v>119.37</v>
      </c>
      <c r="H288" s="212">
        <f t="shared" si="9"/>
        <v>0.1052777777777778</v>
      </c>
    </row>
    <row r="289" spans="1:8" x14ac:dyDescent="0.3">
      <c r="A289" s="299">
        <v>45533</v>
      </c>
      <c r="B289" s="300">
        <v>5591.96</v>
      </c>
      <c r="C289" s="179">
        <f t="shared" si="8"/>
        <v>-9.9922101834146737E-3</v>
      </c>
      <c r="D289" s="300"/>
      <c r="E289" s="300"/>
      <c r="F289" s="299">
        <v>45533</v>
      </c>
      <c r="G289" s="14">
        <v>117.59</v>
      </c>
      <c r="H289" s="212">
        <f t="shared" si="9"/>
        <v>-1.4911619334841308E-2</v>
      </c>
    </row>
    <row r="290" spans="1:8" x14ac:dyDescent="0.3">
      <c r="A290" s="299">
        <v>45532</v>
      </c>
      <c r="B290" s="300">
        <v>5592.18</v>
      </c>
      <c r="C290" s="179">
        <f t="shared" si="8"/>
        <v>3.9342198442149368E-5</v>
      </c>
      <c r="D290" s="300"/>
      <c r="E290" s="300"/>
      <c r="F290" s="299">
        <v>45532</v>
      </c>
      <c r="G290" s="14">
        <v>125.61</v>
      </c>
      <c r="H290" s="212">
        <f t="shared" si="9"/>
        <v>6.8203078493069169E-2</v>
      </c>
    </row>
    <row r="291" spans="1:8" x14ac:dyDescent="0.3">
      <c r="A291" s="299">
        <v>45531</v>
      </c>
      <c r="B291" s="300">
        <v>5625.8</v>
      </c>
      <c r="C291" s="179">
        <f t="shared" si="8"/>
        <v>6.0119667106566244E-3</v>
      </c>
      <c r="D291" s="300"/>
      <c r="E291" s="300"/>
      <c r="F291" s="299">
        <v>45531</v>
      </c>
      <c r="G291" s="14">
        <v>128.30000000000001</v>
      </c>
      <c r="H291" s="212">
        <f t="shared" si="9"/>
        <v>2.1415492397102165E-2</v>
      </c>
    </row>
    <row r="292" spans="1:8" x14ac:dyDescent="0.3">
      <c r="A292" s="299">
        <v>45530</v>
      </c>
      <c r="B292" s="300">
        <v>5616.84</v>
      </c>
      <c r="C292" s="179">
        <f t="shared" si="8"/>
        <v>-1.5926623769063619E-3</v>
      </c>
      <c r="D292" s="300"/>
      <c r="E292" s="300"/>
      <c r="F292" s="299">
        <v>45530</v>
      </c>
      <c r="G292" s="14">
        <v>126.46</v>
      </c>
      <c r="H292" s="212">
        <f t="shared" si="9"/>
        <v>-1.4341387373343895E-2</v>
      </c>
    </row>
    <row r="293" spans="1:8" x14ac:dyDescent="0.3">
      <c r="A293" s="299">
        <v>45527</v>
      </c>
      <c r="B293" s="300">
        <v>5634.61</v>
      </c>
      <c r="C293" s="179">
        <f t="shared" si="8"/>
        <v>3.1637005860944978E-3</v>
      </c>
      <c r="D293" s="300"/>
      <c r="E293" s="300"/>
      <c r="F293" s="299">
        <v>45527</v>
      </c>
      <c r="G293" s="14">
        <v>129.37</v>
      </c>
      <c r="H293" s="212">
        <f t="shared" si="9"/>
        <v>2.3011228847066301E-2</v>
      </c>
    </row>
    <row r="294" spans="1:8" x14ac:dyDescent="0.3">
      <c r="A294" s="299">
        <v>45526</v>
      </c>
      <c r="B294" s="300">
        <v>5570.64</v>
      </c>
      <c r="C294" s="179">
        <f t="shared" si="8"/>
        <v>-1.1353048391991472E-2</v>
      </c>
      <c r="D294" s="300"/>
      <c r="E294" s="300"/>
      <c r="F294" s="299">
        <v>45526</v>
      </c>
      <c r="G294" s="14">
        <v>123.74</v>
      </c>
      <c r="H294" s="212">
        <f t="shared" si="9"/>
        <v>-4.3518590090438347E-2</v>
      </c>
    </row>
    <row r="295" spans="1:8" x14ac:dyDescent="0.3">
      <c r="A295" s="299">
        <v>45525</v>
      </c>
      <c r="B295" s="300">
        <v>5620.85</v>
      </c>
      <c r="C295" s="179">
        <f t="shared" si="8"/>
        <v>9.0133270144903133E-3</v>
      </c>
      <c r="D295" s="300"/>
      <c r="E295" s="300"/>
      <c r="F295" s="299">
        <v>45525</v>
      </c>
      <c r="G295" s="14">
        <v>128.5</v>
      </c>
      <c r="H295" s="212">
        <f t="shared" si="9"/>
        <v>3.8467754970098689E-2</v>
      </c>
    </row>
    <row r="296" spans="1:8" x14ac:dyDescent="0.3">
      <c r="A296" s="299">
        <v>45524</v>
      </c>
      <c r="B296" s="300">
        <v>5597.12</v>
      </c>
      <c r="C296" s="179">
        <f t="shared" si="8"/>
        <v>-4.2217814031686451E-3</v>
      </c>
      <c r="D296" s="300"/>
      <c r="E296" s="300"/>
      <c r="F296" s="299">
        <v>45524</v>
      </c>
      <c r="G296" s="14">
        <v>127.25</v>
      </c>
      <c r="H296" s="212">
        <f t="shared" si="9"/>
        <v>-9.7276264591439343E-3</v>
      </c>
    </row>
    <row r="297" spans="1:8" x14ac:dyDescent="0.3">
      <c r="A297" s="299">
        <v>45523</v>
      </c>
      <c r="B297" s="300">
        <v>5608.25</v>
      </c>
      <c r="C297" s="179">
        <f t="shared" si="8"/>
        <v>1.9885226688010071E-3</v>
      </c>
      <c r="D297" s="300"/>
      <c r="E297" s="300"/>
      <c r="F297" s="299">
        <v>45523</v>
      </c>
      <c r="G297" s="14">
        <v>130</v>
      </c>
      <c r="H297" s="212">
        <f t="shared" si="9"/>
        <v>2.16110019646365E-2</v>
      </c>
    </row>
    <row r="298" spans="1:8" x14ac:dyDescent="0.3">
      <c r="A298" s="299">
        <v>45520</v>
      </c>
      <c r="B298" s="300">
        <v>5554.25</v>
      </c>
      <c r="C298" s="179">
        <f t="shared" si="8"/>
        <v>-9.628672045646991E-3</v>
      </c>
      <c r="D298" s="300"/>
      <c r="E298" s="300"/>
      <c r="F298" s="299">
        <v>45520</v>
      </c>
      <c r="G298" s="14">
        <v>124.58</v>
      </c>
      <c r="H298" s="212">
        <f t="shared" si="9"/>
        <v>-4.1692307692307695E-2</v>
      </c>
    </row>
    <row r="299" spans="1:8" x14ac:dyDescent="0.3">
      <c r="A299" s="299">
        <v>45519</v>
      </c>
      <c r="B299" s="300">
        <v>5543.22</v>
      </c>
      <c r="C299" s="179">
        <f t="shared" si="8"/>
        <v>-1.9858666786694013E-3</v>
      </c>
      <c r="D299" s="300"/>
      <c r="E299" s="300"/>
      <c r="F299" s="299">
        <v>45519</v>
      </c>
      <c r="G299" s="14">
        <v>122.86</v>
      </c>
      <c r="H299" s="212">
        <f t="shared" si="9"/>
        <v>-1.3806389468614566E-2</v>
      </c>
    </row>
    <row r="300" spans="1:8" x14ac:dyDescent="0.3">
      <c r="A300" s="299">
        <v>45518</v>
      </c>
      <c r="B300" s="300">
        <v>5455.21</v>
      </c>
      <c r="C300" s="179">
        <f t="shared" si="8"/>
        <v>-1.5877053409390274E-2</v>
      </c>
      <c r="D300" s="300"/>
      <c r="E300" s="300"/>
      <c r="F300" s="299">
        <v>45518</v>
      </c>
      <c r="G300" s="14">
        <v>118.08</v>
      </c>
      <c r="H300" s="212">
        <f t="shared" si="9"/>
        <v>-3.8906071951815058E-2</v>
      </c>
    </row>
    <row r="301" spans="1:8" x14ac:dyDescent="0.3">
      <c r="A301" s="299">
        <v>45517</v>
      </c>
      <c r="B301" s="300">
        <v>5434.43</v>
      </c>
      <c r="C301" s="179">
        <f t="shared" si="8"/>
        <v>-3.8092025788191153E-3</v>
      </c>
      <c r="D301" s="300"/>
      <c r="E301" s="300"/>
      <c r="F301" s="299">
        <v>45517</v>
      </c>
      <c r="G301" s="14">
        <v>116.14</v>
      </c>
      <c r="H301" s="212">
        <f t="shared" si="9"/>
        <v>-1.6429539295392925E-2</v>
      </c>
    </row>
    <row r="302" spans="1:8" x14ac:dyDescent="0.3">
      <c r="A302" s="299">
        <v>45516</v>
      </c>
      <c r="B302" s="300">
        <v>5344.39</v>
      </c>
      <c r="C302" s="179">
        <f t="shared" si="8"/>
        <v>-1.6568434960060219E-2</v>
      </c>
      <c r="D302" s="300"/>
      <c r="E302" s="300"/>
      <c r="F302" s="299">
        <v>45516</v>
      </c>
      <c r="G302" s="14">
        <v>109.02</v>
      </c>
      <c r="H302" s="212">
        <f t="shared" si="9"/>
        <v>-6.1305321164112359E-2</v>
      </c>
    </row>
    <row r="303" spans="1:8" x14ac:dyDescent="0.3">
      <c r="A303" s="299">
        <v>45513</v>
      </c>
      <c r="B303" s="300">
        <v>5344.16</v>
      </c>
      <c r="C303" s="179">
        <f t="shared" si="8"/>
        <v>-4.3035781445710519E-5</v>
      </c>
      <c r="D303" s="300"/>
      <c r="E303" s="300"/>
      <c r="F303" s="299">
        <v>45513</v>
      </c>
      <c r="G303" s="14">
        <v>104.75</v>
      </c>
      <c r="H303" s="212">
        <f t="shared" si="9"/>
        <v>-3.9167125298110395E-2</v>
      </c>
    </row>
    <row r="304" spans="1:8" x14ac:dyDescent="0.3">
      <c r="A304" s="299">
        <v>45512</v>
      </c>
      <c r="B304" s="300">
        <v>5319.31</v>
      </c>
      <c r="C304" s="179">
        <f t="shared" si="8"/>
        <v>-4.6499356306696216E-3</v>
      </c>
      <c r="D304" s="300"/>
      <c r="E304" s="300"/>
      <c r="F304" s="299">
        <v>45512</v>
      </c>
      <c r="G304" s="14">
        <v>104.97</v>
      </c>
      <c r="H304" s="212">
        <f t="shared" si="9"/>
        <v>2.1002386634845216E-3</v>
      </c>
    </row>
    <row r="305" spans="1:8" x14ac:dyDescent="0.3">
      <c r="A305" s="299">
        <v>45511</v>
      </c>
      <c r="B305" s="300">
        <v>5199.5</v>
      </c>
      <c r="C305" s="179">
        <f t="shared" si="8"/>
        <v>-2.2523597985453114E-2</v>
      </c>
      <c r="D305" s="300"/>
      <c r="E305" s="300"/>
      <c r="F305" s="299">
        <v>45511</v>
      </c>
      <c r="G305" s="14">
        <v>98.91</v>
      </c>
      <c r="H305" s="212">
        <f t="shared" si="9"/>
        <v>-5.7730780222920886E-2</v>
      </c>
    </row>
    <row r="306" spans="1:8" x14ac:dyDescent="0.3">
      <c r="A306" s="299">
        <v>45510</v>
      </c>
      <c r="B306" s="300">
        <v>5240.03</v>
      </c>
      <c r="C306" s="179">
        <f t="shared" si="8"/>
        <v>7.7949802865660001E-3</v>
      </c>
      <c r="D306" s="300"/>
      <c r="E306" s="300"/>
      <c r="F306" s="299">
        <v>45510</v>
      </c>
      <c r="G306" s="14">
        <v>104.25</v>
      </c>
      <c r="H306" s="212">
        <f t="shared" si="9"/>
        <v>5.3988474370640027E-2</v>
      </c>
    </row>
    <row r="307" spans="1:8" x14ac:dyDescent="0.3">
      <c r="A307" s="299">
        <v>45509</v>
      </c>
      <c r="B307" s="300">
        <v>5186.33</v>
      </c>
      <c r="C307" s="179">
        <f t="shared" si="8"/>
        <v>-1.0248032931109097E-2</v>
      </c>
      <c r="D307" s="300"/>
      <c r="E307" s="300"/>
      <c r="F307" s="299">
        <v>45509</v>
      </c>
      <c r="G307" s="14">
        <v>100.45</v>
      </c>
      <c r="H307" s="212">
        <f t="shared" si="9"/>
        <v>-3.6450839328537099E-2</v>
      </c>
    </row>
    <row r="308" spans="1:8" x14ac:dyDescent="0.3">
      <c r="A308" s="299">
        <v>45506</v>
      </c>
      <c r="B308" s="300">
        <v>5346.56</v>
      </c>
      <c r="C308" s="179">
        <f t="shared" si="8"/>
        <v>3.0894678896252303E-2</v>
      </c>
      <c r="D308" s="300"/>
      <c r="E308" s="300"/>
      <c r="F308" s="299">
        <v>45506</v>
      </c>
      <c r="G308" s="14">
        <v>107.27</v>
      </c>
      <c r="H308" s="212">
        <f t="shared" si="9"/>
        <v>6.7894474863115839E-2</v>
      </c>
    </row>
    <row r="309" spans="1:8" x14ac:dyDescent="0.3">
      <c r="A309" s="299">
        <v>45505</v>
      </c>
      <c r="B309" s="300">
        <v>5446.68</v>
      </c>
      <c r="C309" s="179">
        <f t="shared" si="8"/>
        <v>1.8726059372755621E-2</v>
      </c>
      <c r="D309" s="300"/>
      <c r="E309" s="300"/>
      <c r="F309" s="299">
        <v>45505</v>
      </c>
      <c r="G309" s="14">
        <v>109.21</v>
      </c>
      <c r="H309" s="212">
        <f t="shared" si="9"/>
        <v>1.8085205556073403E-2</v>
      </c>
    </row>
    <row r="310" spans="1:8" x14ac:dyDescent="0.3">
      <c r="A310" s="299">
        <v>45504</v>
      </c>
      <c r="B310" s="300">
        <v>5522.3</v>
      </c>
      <c r="C310" s="179">
        <f t="shared" si="8"/>
        <v>1.3883686943238827E-2</v>
      </c>
      <c r="D310" s="300"/>
      <c r="E310" s="300"/>
      <c r="F310" s="299">
        <v>45504</v>
      </c>
      <c r="G310" s="14">
        <v>117.02</v>
      </c>
      <c r="H310" s="212">
        <f t="shared" si="9"/>
        <v>7.1513597655892269E-2</v>
      </c>
    </row>
    <row r="311" spans="1:8" x14ac:dyDescent="0.3">
      <c r="A311" s="299">
        <v>45503</v>
      </c>
      <c r="B311" s="300">
        <v>5436.44</v>
      </c>
      <c r="C311" s="179">
        <f t="shared" si="8"/>
        <v>-1.5547869547109072E-2</v>
      </c>
      <c r="D311" s="300"/>
      <c r="E311" s="300"/>
      <c r="F311" s="299">
        <v>45503</v>
      </c>
      <c r="G311" s="14">
        <v>103.73</v>
      </c>
      <c r="H311" s="212">
        <f t="shared" si="9"/>
        <v>-0.11357032985814386</v>
      </c>
    </row>
    <row r="312" spans="1:8" x14ac:dyDescent="0.3">
      <c r="A312" s="299">
        <v>45502</v>
      </c>
      <c r="B312" s="300">
        <v>5463.54</v>
      </c>
      <c r="C312" s="179">
        <f t="shared" si="8"/>
        <v>4.9848798110527781E-3</v>
      </c>
      <c r="D312" s="300"/>
      <c r="E312" s="300"/>
      <c r="F312" s="299">
        <v>45502</v>
      </c>
      <c r="G312" s="14">
        <v>111.59</v>
      </c>
      <c r="H312" s="212">
        <f t="shared" si="9"/>
        <v>7.5773643111925137E-2</v>
      </c>
    </row>
    <row r="313" spans="1:8" x14ac:dyDescent="0.3">
      <c r="A313" s="299">
        <v>45499</v>
      </c>
      <c r="B313" s="300">
        <v>5459.1</v>
      </c>
      <c r="C313" s="179">
        <f t="shared" si="8"/>
        <v>-8.1265992378565244E-4</v>
      </c>
      <c r="D313" s="300"/>
      <c r="E313" s="300"/>
      <c r="F313" s="299">
        <v>45499</v>
      </c>
      <c r="G313" s="14">
        <v>113.06</v>
      </c>
      <c r="H313" s="212">
        <f t="shared" si="9"/>
        <v>1.3173223407115353E-2</v>
      </c>
    </row>
    <row r="314" spans="1:8" x14ac:dyDescent="0.3">
      <c r="A314" s="299">
        <v>45498</v>
      </c>
      <c r="B314" s="300">
        <v>5399.22</v>
      </c>
      <c r="C314" s="179">
        <f t="shared" si="8"/>
        <v>-1.0968841017750197E-2</v>
      </c>
      <c r="D314" s="300"/>
      <c r="E314" s="300"/>
      <c r="F314" s="299">
        <v>45498</v>
      </c>
      <c r="G314" s="14">
        <v>112.28</v>
      </c>
      <c r="H314" s="212">
        <f t="shared" si="9"/>
        <v>-6.8989916858305245E-3</v>
      </c>
    </row>
    <row r="315" spans="1:8" x14ac:dyDescent="0.3">
      <c r="A315" s="299">
        <v>45497</v>
      </c>
      <c r="B315" s="300">
        <v>5427.13</v>
      </c>
      <c r="C315" s="179">
        <f t="shared" si="8"/>
        <v>5.1692651901571463E-3</v>
      </c>
      <c r="D315" s="300"/>
      <c r="E315" s="300"/>
      <c r="F315" s="299">
        <v>45497</v>
      </c>
      <c r="G315" s="14">
        <v>114.25</v>
      </c>
      <c r="H315" s="212">
        <f t="shared" si="9"/>
        <v>1.7545422158888435E-2</v>
      </c>
    </row>
    <row r="316" spans="1:8" x14ac:dyDescent="0.3">
      <c r="A316" s="299">
        <v>45496</v>
      </c>
      <c r="B316" s="300">
        <v>5555.74</v>
      </c>
      <c r="C316" s="179">
        <f t="shared" si="8"/>
        <v>2.3697608128052883E-2</v>
      </c>
      <c r="D316" s="300"/>
      <c r="E316" s="300"/>
      <c r="F316" s="299">
        <v>45496</v>
      </c>
      <c r="G316" s="14">
        <v>122.59</v>
      </c>
      <c r="H316" s="212">
        <f t="shared" si="9"/>
        <v>7.2997811816192693E-2</v>
      </c>
    </row>
    <row r="317" spans="1:8" x14ac:dyDescent="0.3">
      <c r="A317" s="299">
        <v>45495</v>
      </c>
      <c r="B317" s="300">
        <v>5564.41</v>
      </c>
      <c r="C317" s="179">
        <f t="shared" si="8"/>
        <v>1.560548189800004E-3</v>
      </c>
      <c r="D317" s="300"/>
      <c r="E317" s="300"/>
      <c r="F317" s="299">
        <v>45495</v>
      </c>
      <c r="G317" s="14">
        <v>123.54</v>
      </c>
      <c r="H317" s="212">
        <f t="shared" si="9"/>
        <v>7.7494085977649618E-3</v>
      </c>
    </row>
    <row r="318" spans="1:8" x14ac:dyDescent="0.3">
      <c r="A318" s="299">
        <v>45492</v>
      </c>
      <c r="B318" s="300">
        <v>5505</v>
      </c>
      <c r="C318" s="179">
        <f t="shared" si="8"/>
        <v>-1.0676783342708385E-2</v>
      </c>
      <c r="D318" s="300"/>
      <c r="E318" s="300"/>
      <c r="F318" s="299">
        <v>45492</v>
      </c>
      <c r="G318" s="14">
        <v>117.93</v>
      </c>
      <c r="H318" s="212">
        <f t="shared" si="9"/>
        <v>-4.5410393394851867E-2</v>
      </c>
    </row>
    <row r="319" spans="1:8" x14ac:dyDescent="0.3">
      <c r="A319" s="299">
        <v>45491</v>
      </c>
      <c r="B319" s="300">
        <v>5544.59</v>
      </c>
      <c r="C319" s="179">
        <f t="shared" si="8"/>
        <v>7.1916439600363535E-3</v>
      </c>
      <c r="D319" s="300"/>
      <c r="E319" s="300"/>
      <c r="F319" s="299">
        <v>45491</v>
      </c>
      <c r="G319" s="14">
        <v>121.09</v>
      </c>
      <c r="H319" s="212">
        <f t="shared" si="9"/>
        <v>2.679555668616973E-2</v>
      </c>
    </row>
    <row r="320" spans="1:8" x14ac:dyDescent="0.3">
      <c r="A320" s="299">
        <v>45490</v>
      </c>
      <c r="B320" s="300">
        <v>5588.27</v>
      </c>
      <c r="C320" s="179">
        <f t="shared" si="8"/>
        <v>7.8779494967167185E-3</v>
      </c>
      <c r="D320" s="300"/>
      <c r="E320" s="300"/>
      <c r="F320" s="299">
        <v>45490</v>
      </c>
      <c r="G320" s="14">
        <v>117.99</v>
      </c>
      <c r="H320" s="212">
        <f t="shared" si="9"/>
        <v>-2.5600792798744831E-2</v>
      </c>
    </row>
    <row r="321" spans="1:8" x14ac:dyDescent="0.3">
      <c r="A321" s="299">
        <v>45489</v>
      </c>
      <c r="B321" s="300">
        <v>5667.2</v>
      </c>
      <c r="C321" s="179">
        <f t="shared" si="8"/>
        <v>1.4124228070583555E-2</v>
      </c>
      <c r="D321" s="300"/>
      <c r="E321" s="300"/>
      <c r="F321" s="299">
        <v>45489</v>
      </c>
      <c r="G321" s="14">
        <v>126.36</v>
      </c>
      <c r="H321" s="212">
        <f t="shared" si="9"/>
        <v>7.0938215102974933E-2</v>
      </c>
    </row>
    <row r="322" spans="1:8" x14ac:dyDescent="0.3">
      <c r="A322" s="299">
        <v>45488</v>
      </c>
      <c r="B322" s="300">
        <v>5631.22</v>
      </c>
      <c r="C322" s="179">
        <f t="shared" si="8"/>
        <v>-6.3488142292489336E-3</v>
      </c>
      <c r="D322" s="300"/>
      <c r="E322" s="300"/>
      <c r="F322" s="299">
        <v>45488</v>
      </c>
      <c r="G322" s="14">
        <v>128.44</v>
      </c>
      <c r="H322" s="212">
        <f t="shared" si="9"/>
        <v>1.6460905349794164E-2</v>
      </c>
    </row>
    <row r="323" spans="1:8" x14ac:dyDescent="0.3">
      <c r="A323" s="299">
        <v>45485</v>
      </c>
      <c r="B323" s="300">
        <v>5615.35</v>
      </c>
      <c r="C323" s="179">
        <f t="shared" si="8"/>
        <v>-2.8182170115889082E-3</v>
      </c>
      <c r="D323" s="300"/>
      <c r="E323" s="300"/>
      <c r="F323" s="299">
        <v>45485</v>
      </c>
      <c r="G323" s="14">
        <v>129.24</v>
      </c>
      <c r="H323" s="212">
        <f t="shared" si="9"/>
        <v>6.228589224540837E-3</v>
      </c>
    </row>
    <row r="324" spans="1:8" x14ac:dyDescent="0.3">
      <c r="A324" s="299">
        <v>45484</v>
      </c>
      <c r="B324" s="300">
        <v>5584.54</v>
      </c>
      <c r="C324" s="179">
        <f t="shared" si="8"/>
        <v>-5.4867461511749482E-3</v>
      </c>
      <c r="D324" s="300"/>
      <c r="E324" s="300"/>
      <c r="F324" s="299">
        <v>45484</v>
      </c>
      <c r="G324" s="14">
        <v>127.4</v>
      </c>
      <c r="H324" s="212">
        <f t="shared" si="9"/>
        <v>-1.4237078303930728E-2</v>
      </c>
    </row>
    <row r="325" spans="1:8" x14ac:dyDescent="0.3">
      <c r="A325" s="299">
        <v>45483</v>
      </c>
      <c r="B325" s="300">
        <v>5633.91</v>
      </c>
      <c r="C325" s="179">
        <f t="shared" si="8"/>
        <v>8.8404774609904813E-3</v>
      </c>
      <c r="D325" s="300"/>
      <c r="E325" s="300"/>
      <c r="F325" s="299">
        <v>45483</v>
      </c>
      <c r="G325" s="14">
        <v>134.91</v>
      </c>
      <c r="H325" s="212">
        <f t="shared" si="9"/>
        <v>5.8948194662480358E-2</v>
      </c>
    </row>
    <row r="326" spans="1:8" x14ac:dyDescent="0.3">
      <c r="A326" s="299">
        <v>45482</v>
      </c>
      <c r="B326" s="300">
        <v>5576.98</v>
      </c>
      <c r="C326" s="179">
        <f t="shared" ref="C326:C389" si="10">B326/B325-1</f>
        <v>-1.0104882754605637E-2</v>
      </c>
      <c r="D326" s="300"/>
      <c r="E326" s="300"/>
      <c r="F326" s="299">
        <v>45482</v>
      </c>
      <c r="G326" s="14">
        <v>131.38</v>
      </c>
      <c r="H326" s="212">
        <f t="shared" ref="H326:H389" si="11">G326/G325-1</f>
        <v>-2.6165591876065486E-2</v>
      </c>
    </row>
    <row r="327" spans="1:8" x14ac:dyDescent="0.3">
      <c r="A327" s="299">
        <v>45481</v>
      </c>
      <c r="B327" s="300">
        <v>5572.85</v>
      </c>
      <c r="C327" s="179">
        <f t="shared" si="10"/>
        <v>-7.4054416548008373E-4</v>
      </c>
      <c r="D327" s="300"/>
      <c r="E327" s="300"/>
      <c r="F327" s="299">
        <v>45481</v>
      </c>
      <c r="G327" s="14">
        <v>128.19999999999999</v>
      </c>
      <c r="H327" s="212">
        <f t="shared" si="11"/>
        <v>-2.4204597351195067E-2</v>
      </c>
    </row>
    <row r="328" spans="1:8" x14ac:dyDescent="0.3">
      <c r="A328" s="299">
        <v>45478</v>
      </c>
      <c r="B328" s="300">
        <v>5567.19</v>
      </c>
      <c r="C328" s="179">
        <f t="shared" si="10"/>
        <v>-1.0156383179165118E-3</v>
      </c>
      <c r="D328" s="300"/>
      <c r="E328" s="300"/>
      <c r="F328" s="299">
        <v>45478</v>
      </c>
      <c r="G328" s="14">
        <v>125.83</v>
      </c>
      <c r="H328" s="212">
        <f t="shared" si="11"/>
        <v>-1.8486739469578684E-2</v>
      </c>
    </row>
    <row r="329" spans="1:8" x14ac:dyDescent="0.3">
      <c r="A329" s="299">
        <v>45476</v>
      </c>
      <c r="B329" s="300">
        <v>5537.02</v>
      </c>
      <c r="C329" s="179">
        <f t="shared" si="10"/>
        <v>-5.4192510045460995E-3</v>
      </c>
      <c r="D329" s="300"/>
      <c r="E329" s="300"/>
      <c r="F329" s="299">
        <v>45476</v>
      </c>
      <c r="G329" s="14">
        <v>128.28</v>
      </c>
      <c r="H329" s="212">
        <f t="shared" si="11"/>
        <v>1.9470714456012006E-2</v>
      </c>
    </row>
    <row r="330" spans="1:8" x14ac:dyDescent="0.3">
      <c r="A330" s="299">
        <v>45475</v>
      </c>
      <c r="B330" s="300">
        <v>5509.01</v>
      </c>
      <c r="C330" s="179">
        <f t="shared" si="10"/>
        <v>-5.0586777725202259E-3</v>
      </c>
      <c r="D330" s="300"/>
      <c r="E330" s="300"/>
      <c r="F330" s="299">
        <v>45475</v>
      </c>
      <c r="G330" s="14">
        <v>122.67</v>
      </c>
      <c r="H330" s="212">
        <f t="shared" si="11"/>
        <v>-4.3732460243217974E-2</v>
      </c>
    </row>
    <row r="331" spans="1:8" x14ac:dyDescent="0.3">
      <c r="A331" s="299">
        <v>45474</v>
      </c>
      <c r="B331" s="300">
        <v>5475.09</v>
      </c>
      <c r="C331" s="179">
        <f t="shared" si="10"/>
        <v>-6.1571861368920899E-3</v>
      </c>
      <c r="D331" s="300"/>
      <c r="E331" s="300"/>
      <c r="F331" s="299">
        <v>45474</v>
      </c>
      <c r="G331" s="14">
        <v>124.3</v>
      </c>
      <c r="H331" s="212">
        <f t="shared" si="11"/>
        <v>1.328768239993483E-2</v>
      </c>
    </row>
    <row r="332" spans="1:8" x14ac:dyDescent="0.3">
      <c r="A332" s="299">
        <v>45471</v>
      </c>
      <c r="B332" s="300">
        <v>5460.48</v>
      </c>
      <c r="C332" s="179">
        <f t="shared" si="10"/>
        <v>-2.668449285765262E-3</v>
      </c>
      <c r="D332" s="300"/>
      <c r="E332" s="300"/>
      <c r="F332" s="299">
        <v>45471</v>
      </c>
      <c r="G332" s="14">
        <v>123.54</v>
      </c>
      <c r="H332" s="212">
        <f t="shared" si="11"/>
        <v>-6.1142397425582029E-3</v>
      </c>
    </row>
    <row r="333" spans="1:8" x14ac:dyDescent="0.3">
      <c r="A333" s="299">
        <v>45470</v>
      </c>
      <c r="B333" s="300">
        <v>5482.87</v>
      </c>
      <c r="C333" s="179">
        <f t="shared" si="10"/>
        <v>4.1003721284575967E-3</v>
      </c>
      <c r="D333" s="300"/>
      <c r="E333" s="300"/>
      <c r="F333" s="299">
        <v>45470</v>
      </c>
      <c r="G333" s="14">
        <v>123.99</v>
      </c>
      <c r="H333" s="212">
        <f t="shared" si="11"/>
        <v>3.6425449247206032E-3</v>
      </c>
    </row>
    <row r="334" spans="1:8" x14ac:dyDescent="0.3">
      <c r="A334" s="299">
        <v>45469</v>
      </c>
      <c r="B334" s="300">
        <v>5477.9</v>
      </c>
      <c r="C334" s="179">
        <f t="shared" si="10"/>
        <v>-9.0645957317980752E-4</v>
      </c>
      <c r="D334" s="300"/>
      <c r="E334" s="300"/>
      <c r="F334" s="299">
        <v>45469</v>
      </c>
      <c r="G334" s="14">
        <v>126.4</v>
      </c>
      <c r="H334" s="212">
        <f t="shared" si="11"/>
        <v>1.9437051375110981E-2</v>
      </c>
    </row>
    <row r="335" spans="1:8" x14ac:dyDescent="0.3">
      <c r="A335" s="299">
        <v>45468</v>
      </c>
      <c r="B335" s="300">
        <v>5469.3</v>
      </c>
      <c r="C335" s="179">
        <f t="shared" si="10"/>
        <v>-1.5699446868324696E-3</v>
      </c>
      <c r="D335" s="300"/>
      <c r="E335" s="300"/>
      <c r="F335" s="299">
        <v>45468</v>
      </c>
      <c r="G335" s="14">
        <v>126.09</v>
      </c>
      <c r="H335" s="212">
        <f t="shared" si="11"/>
        <v>-2.4525316455696888E-3</v>
      </c>
    </row>
    <row r="336" spans="1:8" x14ac:dyDescent="0.3">
      <c r="A336" s="299">
        <v>45467</v>
      </c>
      <c r="B336" s="300">
        <v>5447.87</v>
      </c>
      <c r="C336" s="179">
        <f t="shared" si="10"/>
        <v>-3.91823450898654E-3</v>
      </c>
      <c r="D336" s="300"/>
      <c r="E336" s="300"/>
      <c r="F336" s="299">
        <v>45467</v>
      </c>
      <c r="G336" s="14">
        <v>118.11</v>
      </c>
      <c r="H336" s="212">
        <f t="shared" si="11"/>
        <v>-6.3288127527956206E-2</v>
      </c>
    </row>
    <row r="337" spans="1:8" x14ac:dyDescent="0.3">
      <c r="A337" s="299">
        <v>45464</v>
      </c>
      <c r="B337" s="300">
        <v>5464.62</v>
      </c>
      <c r="C337" s="179">
        <f t="shared" si="10"/>
        <v>3.0745961265594701E-3</v>
      </c>
      <c r="D337" s="300"/>
      <c r="E337" s="300"/>
      <c r="F337" s="299">
        <v>45464</v>
      </c>
      <c r="G337" s="14">
        <v>126.57</v>
      </c>
      <c r="H337" s="212">
        <f t="shared" si="11"/>
        <v>7.1628143256286414E-2</v>
      </c>
    </row>
    <row r="338" spans="1:8" x14ac:dyDescent="0.3">
      <c r="A338" s="299">
        <v>45463</v>
      </c>
      <c r="B338" s="300">
        <v>5473.17</v>
      </c>
      <c r="C338" s="179">
        <f t="shared" si="10"/>
        <v>1.564610165025293E-3</v>
      </c>
      <c r="D338" s="300"/>
      <c r="E338" s="300"/>
      <c r="F338" s="299">
        <v>45463</v>
      </c>
      <c r="G338" s="14">
        <v>130.78</v>
      </c>
      <c r="H338" s="212">
        <f t="shared" si="11"/>
        <v>3.3262226435964326E-2</v>
      </c>
    </row>
    <row r="339" spans="1:8" x14ac:dyDescent="0.3">
      <c r="A339" s="299">
        <v>45461</v>
      </c>
      <c r="B339" s="300">
        <v>5487.03</v>
      </c>
      <c r="C339" s="179">
        <f t="shared" si="10"/>
        <v>2.5323532797263404E-3</v>
      </c>
      <c r="D339" s="300"/>
      <c r="E339" s="300"/>
      <c r="F339" s="299">
        <v>45461</v>
      </c>
      <c r="G339" s="14">
        <v>135.58000000000001</v>
      </c>
      <c r="H339" s="212">
        <f t="shared" si="11"/>
        <v>3.6702859764490059E-2</v>
      </c>
    </row>
    <row r="340" spans="1:8" x14ac:dyDescent="0.3">
      <c r="A340" s="299">
        <v>45460</v>
      </c>
      <c r="B340" s="300">
        <v>5473.23</v>
      </c>
      <c r="C340" s="179">
        <f t="shared" si="10"/>
        <v>-2.5150217877430991E-3</v>
      </c>
      <c r="D340" s="300"/>
      <c r="E340" s="300"/>
      <c r="F340" s="299">
        <v>45460</v>
      </c>
      <c r="G340" s="14">
        <v>130.97999999999999</v>
      </c>
      <c r="H340" s="212">
        <f t="shared" si="11"/>
        <v>-3.3928308010031105E-2</v>
      </c>
    </row>
    <row r="341" spans="1:8" x14ac:dyDescent="0.3">
      <c r="A341" s="299">
        <v>45457</v>
      </c>
      <c r="B341" s="300">
        <v>5431.6</v>
      </c>
      <c r="C341" s="179">
        <f t="shared" si="10"/>
        <v>-7.606111930249404E-3</v>
      </c>
      <c r="D341" s="300"/>
      <c r="E341" s="300"/>
      <c r="F341" s="299">
        <v>45457</v>
      </c>
      <c r="G341" s="14">
        <v>131.88</v>
      </c>
      <c r="H341" s="212">
        <f t="shared" si="11"/>
        <v>6.8712780577186994E-3</v>
      </c>
    </row>
    <row r="342" spans="1:8" x14ac:dyDescent="0.3">
      <c r="A342" s="299">
        <v>45456</v>
      </c>
      <c r="B342" s="300">
        <v>5433.74</v>
      </c>
      <c r="C342" s="179">
        <f t="shared" si="10"/>
        <v>3.9399072096601984E-4</v>
      </c>
      <c r="D342" s="300"/>
      <c r="E342" s="300"/>
      <c r="F342" s="299">
        <v>45456</v>
      </c>
      <c r="G342" s="14">
        <v>129.61000000000001</v>
      </c>
      <c r="H342" s="212">
        <f t="shared" si="11"/>
        <v>-1.7212617531088714E-2</v>
      </c>
    </row>
    <row r="343" spans="1:8" x14ac:dyDescent="0.3">
      <c r="A343" s="299">
        <v>45455</v>
      </c>
      <c r="B343" s="300">
        <v>5421.03</v>
      </c>
      <c r="C343" s="179">
        <f t="shared" si="10"/>
        <v>-2.3390887307821462E-3</v>
      </c>
      <c r="D343" s="300"/>
      <c r="E343" s="300"/>
      <c r="F343" s="299">
        <v>45455</v>
      </c>
      <c r="G343" s="14">
        <v>125.2</v>
      </c>
      <c r="H343" s="212">
        <f t="shared" si="11"/>
        <v>-3.4025152380217638E-2</v>
      </c>
    </row>
    <row r="344" spans="1:8" x14ac:dyDescent="0.3">
      <c r="A344" s="299">
        <v>45454</v>
      </c>
      <c r="B344" s="300">
        <v>5375.32</v>
      </c>
      <c r="C344" s="179">
        <f t="shared" si="10"/>
        <v>-8.4319769490299734E-3</v>
      </c>
      <c r="D344" s="300"/>
      <c r="E344" s="300"/>
      <c r="F344" s="299">
        <v>45454</v>
      </c>
      <c r="G344" s="14">
        <v>120.91</v>
      </c>
      <c r="H344" s="212">
        <f t="shared" si="11"/>
        <v>-3.4265175718849905E-2</v>
      </c>
    </row>
    <row r="345" spans="1:8" x14ac:dyDescent="0.3">
      <c r="A345" s="299">
        <v>45453</v>
      </c>
      <c r="B345" s="300">
        <v>5360.79</v>
      </c>
      <c r="C345" s="179">
        <f t="shared" si="10"/>
        <v>-2.7030948855137904E-3</v>
      </c>
      <c r="D345" s="300"/>
      <c r="E345" s="300"/>
      <c r="F345" s="299">
        <v>45453</v>
      </c>
      <c r="G345" s="14">
        <v>121.79</v>
      </c>
      <c r="H345" s="212">
        <f t="shared" si="11"/>
        <v>7.2781407658590869E-3</v>
      </c>
    </row>
    <row r="346" spans="1:8" x14ac:dyDescent="0.3">
      <c r="A346" s="299">
        <v>45450</v>
      </c>
      <c r="B346" s="300">
        <v>5346.99</v>
      </c>
      <c r="C346" s="179">
        <f t="shared" si="10"/>
        <v>-2.5742474523344772E-3</v>
      </c>
      <c r="D346" s="300"/>
      <c r="E346" s="300"/>
      <c r="F346" s="299">
        <v>45450</v>
      </c>
      <c r="G346" s="14">
        <v>120.89</v>
      </c>
      <c r="H346" s="212">
        <f t="shared" si="11"/>
        <v>-7.3897692749815835E-3</v>
      </c>
    </row>
    <row r="347" spans="1:8" x14ac:dyDescent="0.3">
      <c r="A347" s="299">
        <v>45449</v>
      </c>
      <c r="B347" s="300">
        <v>5352.96</v>
      </c>
      <c r="C347" s="179">
        <f t="shared" si="10"/>
        <v>1.1165160211632497E-3</v>
      </c>
      <c r="D347" s="300"/>
      <c r="E347" s="300"/>
      <c r="F347" s="299">
        <v>45449</v>
      </c>
      <c r="G347" s="14">
        <v>121</v>
      </c>
      <c r="H347" s="212">
        <f t="shared" si="11"/>
        <v>9.0991810737039991E-4</v>
      </c>
    </row>
    <row r="348" spans="1:8" x14ac:dyDescent="0.3">
      <c r="A348" s="299">
        <v>45448</v>
      </c>
      <c r="B348" s="300">
        <v>5354.03</v>
      </c>
      <c r="C348" s="179">
        <f t="shared" si="10"/>
        <v>1.9988940698234536E-4</v>
      </c>
      <c r="D348" s="300"/>
      <c r="E348" s="300"/>
      <c r="F348" s="299">
        <v>45448</v>
      </c>
      <c r="G348" s="14">
        <v>122.44</v>
      </c>
      <c r="H348" s="212">
        <f t="shared" si="11"/>
        <v>1.1900826446280988E-2</v>
      </c>
    </row>
    <row r="349" spans="1:8" x14ac:dyDescent="0.3">
      <c r="A349" s="299">
        <v>45447</v>
      </c>
      <c r="B349" s="300">
        <v>5291.34</v>
      </c>
      <c r="C349" s="179">
        <f t="shared" si="10"/>
        <v>-1.1708937006329689E-2</v>
      </c>
      <c r="D349" s="300"/>
      <c r="E349" s="300"/>
      <c r="F349" s="299">
        <v>45447</v>
      </c>
      <c r="G349" s="14">
        <v>116.44</v>
      </c>
      <c r="H349" s="212">
        <f t="shared" si="11"/>
        <v>-4.9003593596863793E-2</v>
      </c>
    </row>
    <row r="350" spans="1:8" x14ac:dyDescent="0.3">
      <c r="A350" s="299">
        <v>45446</v>
      </c>
      <c r="B350" s="300">
        <v>5283.4</v>
      </c>
      <c r="C350" s="179">
        <f t="shared" si="10"/>
        <v>-1.500565074253446E-3</v>
      </c>
      <c r="D350" s="300"/>
      <c r="E350" s="300"/>
      <c r="F350" s="299">
        <v>45446</v>
      </c>
      <c r="G350" s="14">
        <v>115</v>
      </c>
      <c r="H350" s="212">
        <f t="shared" si="11"/>
        <v>-1.2366884232222541E-2</v>
      </c>
    </row>
    <row r="351" spans="1:8" x14ac:dyDescent="0.3">
      <c r="A351" s="299">
        <v>45443</v>
      </c>
      <c r="B351" s="300">
        <v>5277.51</v>
      </c>
      <c r="C351" s="179">
        <f t="shared" si="10"/>
        <v>-1.1148124313887786E-3</v>
      </c>
      <c r="D351" s="300"/>
      <c r="E351" s="300"/>
      <c r="F351" s="299">
        <v>45443</v>
      </c>
      <c r="G351" s="14">
        <v>109.63</v>
      </c>
      <c r="H351" s="212">
        <f t="shared" si="11"/>
        <v>-4.6695652173913138E-2</v>
      </c>
    </row>
    <row r="352" spans="1:8" x14ac:dyDescent="0.3">
      <c r="A352" s="299">
        <v>45442</v>
      </c>
      <c r="B352" s="300">
        <v>5235.4799999999996</v>
      </c>
      <c r="C352" s="179">
        <f t="shared" si="10"/>
        <v>-7.9639830147173463E-3</v>
      </c>
      <c r="D352" s="300"/>
      <c r="E352" s="300"/>
      <c r="F352" s="299">
        <v>45442</v>
      </c>
      <c r="G352" s="14">
        <v>110.5</v>
      </c>
      <c r="H352" s="212">
        <f t="shared" si="11"/>
        <v>7.9357840007296954E-3</v>
      </c>
    </row>
    <row r="353" spans="1:8" x14ac:dyDescent="0.3">
      <c r="A353" s="299">
        <v>45441</v>
      </c>
      <c r="B353" s="300">
        <v>5266.95</v>
      </c>
      <c r="C353" s="179">
        <f t="shared" si="10"/>
        <v>6.0109101744252325E-3</v>
      </c>
      <c r="D353" s="300"/>
      <c r="E353" s="300"/>
      <c r="F353" s="299">
        <v>45441</v>
      </c>
      <c r="G353" s="14">
        <v>114.82</v>
      </c>
      <c r="H353" s="212">
        <f t="shared" si="11"/>
        <v>3.9095022624434428E-2</v>
      </c>
    </row>
    <row r="354" spans="1:8" x14ac:dyDescent="0.3">
      <c r="A354" s="299">
        <v>45440</v>
      </c>
      <c r="B354" s="300">
        <v>5306.04</v>
      </c>
      <c r="C354" s="179">
        <f t="shared" si="10"/>
        <v>7.4217526272322143E-3</v>
      </c>
      <c r="D354" s="300"/>
      <c r="E354" s="300"/>
      <c r="F354" s="299">
        <v>45440</v>
      </c>
      <c r="G354" s="14">
        <v>113.9</v>
      </c>
      <c r="H354" s="212">
        <f t="shared" si="11"/>
        <v>-8.0125413690993463E-3</v>
      </c>
    </row>
    <row r="355" spans="1:8" x14ac:dyDescent="0.3">
      <c r="A355" s="299">
        <v>45436</v>
      </c>
      <c r="B355" s="300">
        <v>5304.72</v>
      </c>
      <c r="C355" s="179">
        <f t="shared" si="10"/>
        <v>-2.4877309632032052E-4</v>
      </c>
      <c r="D355" s="300"/>
      <c r="E355" s="300"/>
      <c r="F355" s="299">
        <v>45436</v>
      </c>
      <c r="G355" s="14">
        <v>106.47</v>
      </c>
      <c r="H355" s="212">
        <f t="shared" si="11"/>
        <v>-6.5232660228270456E-2</v>
      </c>
    </row>
    <row r="356" spans="1:8" x14ac:dyDescent="0.3">
      <c r="A356" s="299">
        <v>45435</v>
      </c>
      <c r="B356" s="300">
        <v>5267.84</v>
      </c>
      <c r="C356" s="179">
        <f t="shared" si="10"/>
        <v>-6.9522990845888311E-3</v>
      </c>
      <c r="D356" s="300"/>
      <c r="E356" s="300"/>
      <c r="F356" s="299">
        <v>45435</v>
      </c>
      <c r="G356" s="14">
        <v>103.8</v>
      </c>
      <c r="H356" s="212">
        <f t="shared" si="11"/>
        <v>-2.5077486615948219E-2</v>
      </c>
    </row>
    <row r="357" spans="1:8" x14ac:dyDescent="0.3">
      <c r="A357" s="299">
        <v>45434</v>
      </c>
      <c r="B357" s="300">
        <v>5307.01</v>
      </c>
      <c r="C357" s="179">
        <f t="shared" si="10"/>
        <v>7.4356852144332741E-3</v>
      </c>
      <c r="D357" s="300"/>
      <c r="E357" s="300"/>
      <c r="F357" s="299">
        <v>45434</v>
      </c>
      <c r="G357" s="14">
        <v>94.95</v>
      </c>
      <c r="H357" s="212">
        <f t="shared" si="11"/>
        <v>-8.526011560693636E-2</v>
      </c>
    </row>
    <row r="358" spans="1:8" x14ac:dyDescent="0.3">
      <c r="A358" s="299">
        <v>45433</v>
      </c>
      <c r="B358" s="300">
        <v>5321.41</v>
      </c>
      <c r="C358" s="179">
        <f t="shared" si="10"/>
        <v>2.7133922868054494E-3</v>
      </c>
      <c r="D358" s="300"/>
      <c r="E358" s="300"/>
      <c r="F358" s="299">
        <v>45433</v>
      </c>
      <c r="G358" s="14">
        <v>95.39</v>
      </c>
      <c r="H358" s="212">
        <f t="shared" si="11"/>
        <v>4.6340179041599594E-3</v>
      </c>
    </row>
    <row r="359" spans="1:8" x14ac:dyDescent="0.3">
      <c r="A359" s="299">
        <v>45432</v>
      </c>
      <c r="B359" s="300">
        <v>5308.13</v>
      </c>
      <c r="C359" s="179">
        <f t="shared" si="10"/>
        <v>-2.4955791792025117E-3</v>
      </c>
      <c r="D359" s="300"/>
      <c r="E359" s="300"/>
      <c r="F359" s="299">
        <v>45432</v>
      </c>
      <c r="G359" s="14">
        <v>94.78</v>
      </c>
      <c r="H359" s="212">
        <f t="shared" si="11"/>
        <v>-6.3948002935317882E-3</v>
      </c>
    </row>
    <row r="360" spans="1:8" x14ac:dyDescent="0.3">
      <c r="A360" s="299">
        <v>45429</v>
      </c>
      <c r="B360" s="300">
        <v>5303.27</v>
      </c>
      <c r="C360" s="179">
        <f t="shared" si="10"/>
        <v>-9.1557667201058734E-4</v>
      </c>
      <c r="D360" s="300"/>
      <c r="E360" s="300"/>
      <c r="F360" s="299">
        <v>45429</v>
      </c>
      <c r="G360" s="14">
        <v>92.48</v>
      </c>
      <c r="H360" s="212">
        <f t="shared" si="11"/>
        <v>-2.4266722937328566E-2</v>
      </c>
    </row>
    <row r="361" spans="1:8" x14ac:dyDescent="0.3">
      <c r="A361" s="299">
        <v>45428</v>
      </c>
      <c r="B361" s="300">
        <v>5297.1</v>
      </c>
      <c r="C361" s="179">
        <f t="shared" si="10"/>
        <v>-1.1634331271084264E-3</v>
      </c>
      <c r="D361" s="300"/>
      <c r="E361" s="300"/>
      <c r="F361" s="299">
        <v>45428</v>
      </c>
      <c r="G361" s="14">
        <v>94.36</v>
      </c>
      <c r="H361" s="212">
        <f t="shared" si="11"/>
        <v>2.0328719723183397E-2</v>
      </c>
    </row>
    <row r="362" spans="1:8" x14ac:dyDescent="0.3">
      <c r="A362" s="299">
        <v>45427</v>
      </c>
      <c r="B362" s="300">
        <v>5308.15</v>
      </c>
      <c r="C362" s="179">
        <f t="shared" si="10"/>
        <v>2.0860470823655941E-3</v>
      </c>
      <c r="D362" s="300"/>
      <c r="E362" s="300"/>
      <c r="F362" s="299">
        <v>45427</v>
      </c>
      <c r="G362" s="14">
        <v>94.63</v>
      </c>
      <c r="H362" s="212">
        <f t="shared" si="11"/>
        <v>2.8613819415006514E-3</v>
      </c>
    </row>
    <row r="363" spans="1:8" x14ac:dyDescent="0.3">
      <c r="A363" s="299">
        <v>45426</v>
      </c>
      <c r="B363" s="300">
        <v>5246.68</v>
      </c>
      <c r="C363" s="179">
        <f t="shared" si="10"/>
        <v>-1.1580305756242582E-2</v>
      </c>
      <c r="D363" s="300"/>
      <c r="E363" s="300"/>
      <c r="F363" s="299">
        <v>45426</v>
      </c>
      <c r="G363" s="14">
        <v>91.36</v>
      </c>
      <c r="H363" s="212">
        <f t="shared" si="11"/>
        <v>-3.4555637747014645E-2</v>
      </c>
    </row>
    <row r="364" spans="1:8" x14ac:dyDescent="0.3">
      <c r="A364" s="299">
        <v>45425</v>
      </c>
      <c r="B364" s="300">
        <v>5221.42</v>
      </c>
      <c r="C364" s="179">
        <f t="shared" si="10"/>
        <v>-4.8144731525460172E-3</v>
      </c>
      <c r="D364" s="300"/>
      <c r="E364" s="300"/>
      <c r="F364" s="299">
        <v>45425</v>
      </c>
      <c r="G364" s="14">
        <v>90.4</v>
      </c>
      <c r="H364" s="212">
        <f t="shared" si="11"/>
        <v>-1.0507880910682998E-2</v>
      </c>
    </row>
    <row r="365" spans="1:8" x14ac:dyDescent="0.3">
      <c r="A365" s="299">
        <v>45422</v>
      </c>
      <c r="B365" s="300">
        <v>5222.68</v>
      </c>
      <c r="C365" s="179">
        <f t="shared" si="10"/>
        <v>2.4131366563118206E-4</v>
      </c>
      <c r="D365" s="300"/>
      <c r="E365" s="300"/>
      <c r="F365" s="299">
        <v>45422</v>
      </c>
      <c r="G365" s="14">
        <v>89.88</v>
      </c>
      <c r="H365" s="212">
        <f t="shared" si="11"/>
        <v>-5.7522123893806176E-3</v>
      </c>
    </row>
    <row r="366" spans="1:8" x14ac:dyDescent="0.3">
      <c r="A366" s="299">
        <v>45421</v>
      </c>
      <c r="B366" s="300">
        <v>5214.08</v>
      </c>
      <c r="C366" s="179">
        <f t="shared" si="10"/>
        <v>-1.646664164758338E-3</v>
      </c>
      <c r="D366" s="300"/>
      <c r="E366" s="300"/>
      <c r="F366" s="299">
        <v>45421</v>
      </c>
      <c r="G366" s="14">
        <v>88.75</v>
      </c>
      <c r="H366" s="212">
        <f t="shared" si="11"/>
        <v>-1.2572318647084968E-2</v>
      </c>
    </row>
    <row r="367" spans="1:8" x14ac:dyDescent="0.3">
      <c r="A367" s="299">
        <v>45420</v>
      </c>
      <c r="B367" s="300">
        <v>5187.67</v>
      </c>
      <c r="C367" s="179">
        <f t="shared" si="10"/>
        <v>-5.0651313366882889E-3</v>
      </c>
      <c r="D367" s="300"/>
      <c r="E367" s="300"/>
      <c r="F367" s="299">
        <v>45420</v>
      </c>
      <c r="G367" s="14">
        <v>90.41</v>
      </c>
      <c r="H367" s="212">
        <f t="shared" si="11"/>
        <v>1.870422535211258E-2</v>
      </c>
    </row>
    <row r="368" spans="1:8" x14ac:dyDescent="0.3">
      <c r="A368" s="299">
        <v>45419</v>
      </c>
      <c r="B368" s="300">
        <v>5187.7</v>
      </c>
      <c r="C368" s="179">
        <f t="shared" si="10"/>
        <v>5.78294301667448E-6</v>
      </c>
      <c r="D368" s="300"/>
      <c r="E368" s="300"/>
      <c r="F368" s="299">
        <v>45419</v>
      </c>
      <c r="G368" s="14">
        <v>90.55</v>
      </c>
      <c r="H368" s="212">
        <f t="shared" si="11"/>
        <v>1.5485012719831381E-3</v>
      </c>
    </row>
    <row r="369" spans="1:8" x14ac:dyDescent="0.3">
      <c r="A369" s="299">
        <v>45418</v>
      </c>
      <c r="B369" s="300">
        <v>5180.74</v>
      </c>
      <c r="C369" s="179">
        <f t="shared" si="10"/>
        <v>-1.3416350213003581E-3</v>
      </c>
      <c r="D369" s="300"/>
      <c r="E369" s="300"/>
      <c r="F369" s="299">
        <v>45418</v>
      </c>
      <c r="G369" s="14">
        <v>92.14</v>
      </c>
      <c r="H369" s="212">
        <f t="shared" si="11"/>
        <v>1.7559359469906166E-2</v>
      </c>
    </row>
    <row r="370" spans="1:8" x14ac:dyDescent="0.3">
      <c r="A370" s="299">
        <v>45415</v>
      </c>
      <c r="B370" s="300">
        <v>5127.79</v>
      </c>
      <c r="C370" s="179">
        <f t="shared" si="10"/>
        <v>-1.0220547643772893E-2</v>
      </c>
      <c r="D370" s="300"/>
      <c r="E370" s="300"/>
      <c r="F370" s="299">
        <v>45415</v>
      </c>
      <c r="G370" s="14">
        <v>88.79</v>
      </c>
      <c r="H370" s="212">
        <f t="shared" si="11"/>
        <v>-3.6357716518341632E-2</v>
      </c>
    </row>
    <row r="371" spans="1:8" x14ac:dyDescent="0.3">
      <c r="A371" s="299">
        <v>45414</v>
      </c>
      <c r="B371" s="300">
        <v>5064.2</v>
      </c>
      <c r="C371" s="179">
        <f t="shared" si="10"/>
        <v>-1.240105386531043E-2</v>
      </c>
      <c r="D371" s="300"/>
      <c r="E371" s="300"/>
      <c r="F371" s="299">
        <v>45414</v>
      </c>
      <c r="G371" s="14">
        <v>85.82</v>
      </c>
      <c r="H371" s="212">
        <f t="shared" si="11"/>
        <v>-3.3449712805496246E-2</v>
      </c>
    </row>
    <row r="372" spans="1:8" x14ac:dyDescent="0.3">
      <c r="A372" s="299">
        <v>45413</v>
      </c>
      <c r="B372" s="300">
        <v>5018.3900000000003</v>
      </c>
      <c r="C372" s="179">
        <f t="shared" si="10"/>
        <v>-9.0458512696970361E-3</v>
      </c>
      <c r="D372" s="300"/>
      <c r="E372" s="300"/>
      <c r="F372" s="299">
        <v>45413</v>
      </c>
      <c r="G372" s="14">
        <v>83.04</v>
      </c>
      <c r="H372" s="212">
        <f t="shared" si="11"/>
        <v>-3.2393381496154561E-2</v>
      </c>
    </row>
    <row r="373" spans="1:8" x14ac:dyDescent="0.3">
      <c r="A373" s="299">
        <v>45412</v>
      </c>
      <c r="B373" s="300">
        <v>5035.6899999999996</v>
      </c>
      <c r="C373" s="179">
        <f t="shared" si="10"/>
        <v>3.4473207542655704E-3</v>
      </c>
      <c r="D373" s="300"/>
      <c r="E373" s="300"/>
      <c r="F373" s="299">
        <v>45412</v>
      </c>
      <c r="G373" s="14">
        <v>86.4</v>
      </c>
      <c r="H373" s="212">
        <f t="shared" si="11"/>
        <v>4.0462427745664664E-2</v>
      </c>
    </row>
    <row r="374" spans="1:8" x14ac:dyDescent="0.3">
      <c r="A374" s="299">
        <v>45411</v>
      </c>
      <c r="B374" s="300">
        <v>5116.17</v>
      </c>
      <c r="C374" s="179">
        <f t="shared" si="10"/>
        <v>1.5981921047562686E-2</v>
      </c>
      <c r="D374" s="300"/>
      <c r="E374" s="300"/>
      <c r="F374" s="299">
        <v>45411</v>
      </c>
      <c r="G374" s="14">
        <v>87.76</v>
      </c>
      <c r="H374" s="212">
        <f t="shared" si="11"/>
        <v>1.5740740740740833E-2</v>
      </c>
    </row>
    <row r="375" spans="1:8" x14ac:dyDescent="0.3">
      <c r="A375" s="299">
        <v>45408</v>
      </c>
      <c r="B375" s="300">
        <v>5099.96</v>
      </c>
      <c r="C375" s="179">
        <f t="shared" si="10"/>
        <v>-3.1683857260411674E-3</v>
      </c>
      <c r="D375" s="300"/>
      <c r="E375" s="300"/>
      <c r="F375" s="299">
        <v>45408</v>
      </c>
      <c r="G375" s="14">
        <v>87.74</v>
      </c>
      <c r="H375" s="212">
        <f t="shared" si="11"/>
        <v>-2.2789425706482014E-4</v>
      </c>
    </row>
    <row r="376" spans="1:8" x14ac:dyDescent="0.3">
      <c r="A376" s="299">
        <v>45407</v>
      </c>
      <c r="B376" s="300">
        <v>5048.42</v>
      </c>
      <c r="C376" s="179">
        <f t="shared" si="10"/>
        <v>-1.0105961615385239E-2</v>
      </c>
      <c r="D376" s="300"/>
      <c r="E376" s="300"/>
      <c r="F376" s="299">
        <v>45407</v>
      </c>
      <c r="G376" s="14">
        <v>82.63</v>
      </c>
      <c r="H376" s="212">
        <f t="shared" si="11"/>
        <v>-5.8240255299749299E-2</v>
      </c>
    </row>
    <row r="377" spans="1:8" x14ac:dyDescent="0.3">
      <c r="A377" s="299">
        <v>45406</v>
      </c>
      <c r="B377" s="300">
        <v>5071.63</v>
      </c>
      <c r="C377" s="179">
        <f t="shared" si="10"/>
        <v>4.5974780228270617E-3</v>
      </c>
      <c r="D377" s="300"/>
      <c r="E377" s="300"/>
      <c r="F377" s="299">
        <v>45406</v>
      </c>
      <c r="G377" s="14">
        <v>79.680000000000007</v>
      </c>
      <c r="H377" s="212">
        <f t="shared" si="11"/>
        <v>-3.5701319133486509E-2</v>
      </c>
    </row>
    <row r="378" spans="1:8" x14ac:dyDescent="0.3">
      <c r="A378" s="299">
        <v>45405</v>
      </c>
      <c r="B378" s="300">
        <v>5070.55</v>
      </c>
      <c r="C378" s="179">
        <f t="shared" si="10"/>
        <v>-2.1294928849302508E-4</v>
      </c>
      <c r="D378" s="300"/>
      <c r="E378" s="300"/>
      <c r="F378" s="299">
        <v>45405</v>
      </c>
      <c r="G378" s="14">
        <v>82.42</v>
      </c>
      <c r="H378" s="212">
        <f t="shared" si="11"/>
        <v>3.4387550200803085E-2</v>
      </c>
    </row>
    <row r="379" spans="1:8" x14ac:dyDescent="0.3">
      <c r="A379" s="299">
        <v>45404</v>
      </c>
      <c r="B379" s="300">
        <v>5010.6000000000004</v>
      </c>
      <c r="C379" s="179">
        <f t="shared" si="10"/>
        <v>-1.1823175000739483E-2</v>
      </c>
      <c r="D379" s="300"/>
      <c r="E379" s="300"/>
      <c r="F379" s="299">
        <v>45404</v>
      </c>
      <c r="G379" s="14">
        <v>79.52</v>
      </c>
      <c r="H379" s="212">
        <f t="shared" si="11"/>
        <v>-3.5185634554719791E-2</v>
      </c>
    </row>
    <row r="380" spans="1:8" x14ac:dyDescent="0.3">
      <c r="A380" s="299">
        <v>45401</v>
      </c>
      <c r="B380" s="300">
        <v>4967.2299999999996</v>
      </c>
      <c r="C380" s="179">
        <f t="shared" si="10"/>
        <v>-8.6556500219535648E-3</v>
      </c>
      <c r="D380" s="300"/>
      <c r="E380" s="300"/>
      <c r="F380" s="299">
        <v>45401</v>
      </c>
      <c r="G380" s="14">
        <v>76.2</v>
      </c>
      <c r="H380" s="212">
        <f t="shared" si="11"/>
        <v>-4.1750503018108565E-2</v>
      </c>
    </row>
    <row r="381" spans="1:8" x14ac:dyDescent="0.3">
      <c r="A381" s="299">
        <v>45400</v>
      </c>
      <c r="B381" s="300">
        <v>5011.12</v>
      </c>
      <c r="C381" s="179">
        <f t="shared" si="10"/>
        <v>8.8359105577957564E-3</v>
      </c>
      <c r="D381" s="300"/>
      <c r="E381" s="300"/>
      <c r="F381" s="299">
        <v>45400</v>
      </c>
      <c r="G381" s="14">
        <v>84.67</v>
      </c>
      <c r="H381" s="212">
        <f t="shared" si="11"/>
        <v>0.11115485564304461</v>
      </c>
    </row>
    <row r="382" spans="1:8" x14ac:dyDescent="0.3">
      <c r="A382" s="299">
        <v>45399</v>
      </c>
      <c r="B382" s="300">
        <v>5022.21</v>
      </c>
      <c r="C382" s="179">
        <f t="shared" si="10"/>
        <v>2.2130781142739586E-3</v>
      </c>
      <c r="D382" s="300"/>
      <c r="E382" s="300"/>
      <c r="F382" s="299">
        <v>45399</v>
      </c>
      <c r="G382" s="14">
        <v>84.04</v>
      </c>
      <c r="H382" s="212">
        <f t="shared" si="11"/>
        <v>-7.440651942836829E-3</v>
      </c>
    </row>
    <row r="383" spans="1:8" x14ac:dyDescent="0.3">
      <c r="A383" s="299">
        <v>45398</v>
      </c>
      <c r="B383" s="300">
        <v>5051.41</v>
      </c>
      <c r="C383" s="179">
        <f t="shared" si="10"/>
        <v>5.8141734415724233E-3</v>
      </c>
      <c r="D383" s="300"/>
      <c r="E383" s="300"/>
      <c r="F383" s="299">
        <v>45398</v>
      </c>
      <c r="G383" s="14">
        <v>87.42</v>
      </c>
      <c r="H383" s="212">
        <f t="shared" si="11"/>
        <v>4.0218943360304626E-2</v>
      </c>
    </row>
    <row r="384" spans="1:8" x14ac:dyDescent="0.3">
      <c r="A384" s="299">
        <v>45397</v>
      </c>
      <c r="B384" s="300">
        <v>5061.82</v>
      </c>
      <c r="C384" s="179">
        <f t="shared" si="10"/>
        <v>2.0608107439308299E-3</v>
      </c>
      <c r="D384" s="300"/>
      <c r="E384" s="300"/>
      <c r="F384" s="299">
        <v>45397</v>
      </c>
      <c r="G384" s="14">
        <v>86</v>
      </c>
      <c r="H384" s="212">
        <f t="shared" si="11"/>
        <v>-1.6243422557767118E-2</v>
      </c>
    </row>
    <row r="385" spans="1:8" x14ac:dyDescent="0.3">
      <c r="A385" s="299">
        <v>45394</v>
      </c>
      <c r="B385" s="300">
        <v>5123.41</v>
      </c>
      <c r="C385" s="179">
        <f t="shared" si="10"/>
        <v>1.2167560284640722E-2</v>
      </c>
      <c r="D385" s="300"/>
      <c r="E385" s="300"/>
      <c r="F385" s="299">
        <v>45394</v>
      </c>
      <c r="G385" s="14">
        <v>88.19</v>
      </c>
      <c r="H385" s="212">
        <f t="shared" si="11"/>
        <v>2.5465116279069777E-2</v>
      </c>
    </row>
    <row r="386" spans="1:8" x14ac:dyDescent="0.3">
      <c r="A386" s="299">
        <v>45393</v>
      </c>
      <c r="B386" s="300">
        <v>5199.0600000000004</v>
      </c>
      <c r="C386" s="179">
        <f t="shared" si="10"/>
        <v>1.476555653363687E-2</v>
      </c>
      <c r="D386" s="300"/>
      <c r="E386" s="300"/>
      <c r="F386" s="299">
        <v>45393</v>
      </c>
      <c r="G386" s="14">
        <v>90.62</v>
      </c>
      <c r="H386" s="212">
        <f t="shared" si="11"/>
        <v>2.7554144460823382E-2</v>
      </c>
    </row>
    <row r="387" spans="1:8" x14ac:dyDescent="0.3">
      <c r="A387" s="299">
        <v>45392</v>
      </c>
      <c r="B387" s="300">
        <v>5160.6400000000003</v>
      </c>
      <c r="C387" s="179">
        <f t="shared" si="10"/>
        <v>-7.389797386450625E-3</v>
      </c>
      <c r="D387" s="300"/>
      <c r="E387" s="300"/>
      <c r="F387" s="299">
        <v>45392</v>
      </c>
      <c r="G387" s="14">
        <v>87.04</v>
      </c>
      <c r="H387" s="212">
        <f t="shared" si="11"/>
        <v>-3.9505627896711526E-2</v>
      </c>
    </row>
    <row r="388" spans="1:8" x14ac:dyDescent="0.3">
      <c r="A388" s="299">
        <v>45391</v>
      </c>
      <c r="B388" s="300">
        <v>5209.91</v>
      </c>
      <c r="C388" s="179">
        <f t="shared" si="10"/>
        <v>9.5472654554473735E-3</v>
      </c>
      <c r="D388" s="300"/>
      <c r="E388" s="300"/>
      <c r="F388" s="299">
        <v>45391</v>
      </c>
      <c r="G388" s="14">
        <v>85.35</v>
      </c>
      <c r="H388" s="212">
        <f t="shared" si="11"/>
        <v>-1.9416360294117752E-2</v>
      </c>
    </row>
    <row r="389" spans="1:8" x14ac:dyDescent="0.3">
      <c r="A389" s="299">
        <v>45390</v>
      </c>
      <c r="B389" s="300">
        <v>5202.3900000000003</v>
      </c>
      <c r="C389" s="179">
        <f t="shared" si="10"/>
        <v>-1.4434030530277031E-3</v>
      </c>
      <c r="D389" s="300"/>
      <c r="E389" s="300"/>
      <c r="F389" s="299">
        <v>45390</v>
      </c>
      <c r="G389" s="14">
        <v>87.13</v>
      </c>
      <c r="H389" s="212">
        <f t="shared" si="11"/>
        <v>2.0855301698887052E-2</v>
      </c>
    </row>
    <row r="390" spans="1:8" x14ac:dyDescent="0.3">
      <c r="A390" s="299">
        <v>45387</v>
      </c>
      <c r="B390" s="300">
        <v>5204.34</v>
      </c>
      <c r="C390" s="179">
        <f t="shared" ref="C390:C453" si="12">B390/B389-1</f>
        <v>3.7482772341168591E-4</v>
      </c>
      <c r="D390" s="300"/>
      <c r="E390" s="300"/>
      <c r="F390" s="299">
        <v>45387</v>
      </c>
      <c r="G390" s="14">
        <v>88.01</v>
      </c>
      <c r="H390" s="212">
        <f t="shared" ref="H390:H453" si="13">G390/G389-1</f>
        <v>1.0099850797658849E-2</v>
      </c>
    </row>
    <row r="391" spans="1:8" x14ac:dyDescent="0.3">
      <c r="A391" s="299">
        <v>45386</v>
      </c>
      <c r="B391" s="300">
        <v>5147.21</v>
      </c>
      <c r="C391" s="179">
        <f t="shared" si="12"/>
        <v>-1.0977376574166975E-2</v>
      </c>
      <c r="D391" s="300"/>
      <c r="E391" s="300"/>
      <c r="F391" s="299">
        <v>45386</v>
      </c>
      <c r="G391" s="14">
        <v>85.9</v>
      </c>
      <c r="H391" s="212">
        <f t="shared" si="13"/>
        <v>-2.3974548346778812E-2</v>
      </c>
    </row>
    <row r="392" spans="1:8" x14ac:dyDescent="0.3">
      <c r="A392" s="299">
        <v>45385</v>
      </c>
      <c r="B392" s="300">
        <v>5211.49</v>
      </c>
      <c r="C392" s="179">
        <f t="shared" si="12"/>
        <v>1.2488318914518626E-2</v>
      </c>
      <c r="D392" s="300"/>
      <c r="E392" s="300"/>
      <c r="F392" s="299">
        <v>45385</v>
      </c>
      <c r="G392" s="14">
        <v>88.96</v>
      </c>
      <c r="H392" s="212">
        <f t="shared" si="13"/>
        <v>3.5622817229336246E-2</v>
      </c>
    </row>
    <row r="393" spans="1:8" x14ac:dyDescent="0.3">
      <c r="A393" s="299">
        <v>45384</v>
      </c>
      <c r="B393" s="300">
        <v>5205.8100000000004</v>
      </c>
      <c r="C393" s="179">
        <f t="shared" si="12"/>
        <v>-1.0898994337510404E-3</v>
      </c>
      <c r="D393" s="300"/>
      <c r="E393" s="300"/>
      <c r="F393" s="299">
        <v>45384</v>
      </c>
      <c r="G393" s="14">
        <v>89.45</v>
      </c>
      <c r="H393" s="212">
        <f t="shared" si="13"/>
        <v>5.5080935251798913E-3</v>
      </c>
    </row>
    <row r="394" spans="1:8" x14ac:dyDescent="0.3">
      <c r="A394" s="299">
        <v>45383</v>
      </c>
      <c r="B394" s="300">
        <v>5243.77</v>
      </c>
      <c r="C394" s="179">
        <f t="shared" si="12"/>
        <v>7.2918527568235358E-3</v>
      </c>
      <c r="D394" s="300"/>
      <c r="E394" s="300"/>
      <c r="F394" s="299">
        <v>45383</v>
      </c>
      <c r="G394" s="14">
        <v>90.36</v>
      </c>
      <c r="H394" s="212">
        <f t="shared" si="13"/>
        <v>1.0173281162660697E-2</v>
      </c>
    </row>
    <row r="395" spans="1:8" x14ac:dyDescent="0.3">
      <c r="A395" s="299">
        <v>45379</v>
      </c>
      <c r="B395" s="300">
        <v>5254.35</v>
      </c>
      <c r="C395" s="179">
        <f t="shared" si="12"/>
        <v>2.0176323522962392E-3</v>
      </c>
      <c r="D395" s="300"/>
      <c r="E395" s="300"/>
      <c r="F395" s="299">
        <v>45379</v>
      </c>
      <c r="G395" s="14">
        <v>90.36</v>
      </c>
      <c r="H395" s="212">
        <f t="shared" si="13"/>
        <v>0</v>
      </c>
    </row>
    <row r="396" spans="1:8" x14ac:dyDescent="0.3">
      <c r="A396" s="299">
        <v>45378</v>
      </c>
      <c r="B396" s="300">
        <v>5248.49</v>
      </c>
      <c r="C396" s="179">
        <f t="shared" si="12"/>
        <v>-1.1152663983177158E-3</v>
      </c>
      <c r="D396" s="300"/>
      <c r="E396" s="300"/>
      <c r="F396" s="299">
        <v>45378</v>
      </c>
      <c r="G396" s="14">
        <v>90.25</v>
      </c>
      <c r="H396" s="212">
        <f t="shared" si="13"/>
        <v>-1.2173528109783449E-3</v>
      </c>
    </row>
    <row r="397" spans="1:8" x14ac:dyDescent="0.3">
      <c r="A397" s="299">
        <v>45377</v>
      </c>
      <c r="B397" s="300">
        <v>5203.58</v>
      </c>
      <c r="C397" s="179">
        <f t="shared" si="12"/>
        <v>-8.5567467976503941E-3</v>
      </c>
      <c r="D397" s="300"/>
      <c r="E397" s="300"/>
      <c r="F397" s="299">
        <v>45377</v>
      </c>
      <c r="G397" s="14">
        <v>92.56</v>
      </c>
      <c r="H397" s="212">
        <f t="shared" si="13"/>
        <v>2.5595567867036095E-2</v>
      </c>
    </row>
    <row r="398" spans="1:8" x14ac:dyDescent="0.3">
      <c r="A398" s="299">
        <v>45376</v>
      </c>
      <c r="B398" s="300">
        <v>5218.1899999999996</v>
      </c>
      <c r="C398" s="179">
        <f t="shared" si="12"/>
        <v>2.8076824032685632E-3</v>
      </c>
      <c r="D398" s="300"/>
      <c r="E398" s="300"/>
      <c r="F398" s="299">
        <v>45376</v>
      </c>
      <c r="G398" s="14">
        <v>95</v>
      </c>
      <c r="H398" s="212">
        <f t="shared" si="13"/>
        <v>2.6361279170267871E-2</v>
      </c>
    </row>
    <row r="399" spans="1:8" x14ac:dyDescent="0.3">
      <c r="A399" s="299">
        <v>45373</v>
      </c>
      <c r="B399" s="300">
        <v>5234.18</v>
      </c>
      <c r="C399" s="179">
        <f t="shared" si="12"/>
        <v>3.0642809096641521E-3</v>
      </c>
      <c r="D399" s="300"/>
      <c r="E399" s="300"/>
      <c r="F399" s="299">
        <v>45373</v>
      </c>
      <c r="G399" s="14">
        <v>94.29</v>
      </c>
      <c r="H399" s="212">
        <f t="shared" si="13"/>
        <v>-7.4736842105262991E-3</v>
      </c>
    </row>
    <row r="400" spans="1:8" x14ac:dyDescent="0.3">
      <c r="A400" s="299">
        <v>45372</v>
      </c>
      <c r="B400" s="300">
        <v>5241.53</v>
      </c>
      <c r="C400" s="179">
        <f t="shared" si="12"/>
        <v>1.4042314173374759E-3</v>
      </c>
      <c r="D400" s="300"/>
      <c r="E400" s="300"/>
      <c r="F400" s="299">
        <v>45372</v>
      </c>
      <c r="G400" s="14">
        <v>91.43</v>
      </c>
      <c r="H400" s="212">
        <f t="shared" si="13"/>
        <v>-3.0331954608123879E-2</v>
      </c>
    </row>
    <row r="401" spans="1:8" x14ac:dyDescent="0.3">
      <c r="A401" s="299">
        <v>45371</v>
      </c>
      <c r="B401" s="300">
        <v>5224.62</v>
      </c>
      <c r="C401" s="179">
        <f t="shared" si="12"/>
        <v>-3.2261572479791445E-3</v>
      </c>
      <c r="D401" s="300"/>
      <c r="E401" s="300"/>
      <c r="F401" s="299">
        <v>45371</v>
      </c>
      <c r="G401" s="14">
        <v>90.37</v>
      </c>
      <c r="H401" s="212">
        <f t="shared" si="13"/>
        <v>-1.159356885048668E-2</v>
      </c>
    </row>
    <row r="402" spans="1:8" x14ac:dyDescent="0.3">
      <c r="A402" s="299">
        <v>45370</v>
      </c>
      <c r="B402" s="300">
        <v>5178.51</v>
      </c>
      <c r="C402" s="179">
        <f t="shared" si="12"/>
        <v>-8.825522238937844E-3</v>
      </c>
      <c r="D402" s="300"/>
      <c r="E402" s="300"/>
      <c r="F402" s="299">
        <v>45370</v>
      </c>
      <c r="G402" s="14">
        <v>89.4</v>
      </c>
      <c r="H402" s="212">
        <f t="shared" si="13"/>
        <v>-1.0733650547748108E-2</v>
      </c>
    </row>
    <row r="403" spans="1:8" x14ac:dyDescent="0.3">
      <c r="A403" s="299">
        <v>45369</v>
      </c>
      <c r="B403" s="300">
        <v>5149.42</v>
      </c>
      <c r="C403" s="179">
        <f t="shared" si="12"/>
        <v>-5.6174459448760095E-3</v>
      </c>
      <c r="D403" s="300"/>
      <c r="E403" s="300"/>
      <c r="F403" s="299">
        <v>45369</v>
      </c>
      <c r="G403" s="14">
        <v>88.46</v>
      </c>
      <c r="H403" s="212">
        <f t="shared" si="13"/>
        <v>-1.0514541387024789E-2</v>
      </c>
    </row>
    <row r="404" spans="1:8" x14ac:dyDescent="0.3">
      <c r="A404" s="299">
        <v>45366</v>
      </c>
      <c r="B404" s="300">
        <v>5117.09</v>
      </c>
      <c r="C404" s="179">
        <f t="shared" si="12"/>
        <v>-6.2783769822620794E-3</v>
      </c>
      <c r="D404" s="300"/>
      <c r="E404" s="300"/>
      <c r="F404" s="299">
        <v>45366</v>
      </c>
      <c r="G404" s="14">
        <v>87.84</v>
      </c>
      <c r="H404" s="212">
        <f t="shared" si="13"/>
        <v>-7.0088175446528789E-3</v>
      </c>
    </row>
    <row r="405" spans="1:8" x14ac:dyDescent="0.3">
      <c r="A405" s="299">
        <v>45365</v>
      </c>
      <c r="B405" s="300">
        <v>5150.4799999999996</v>
      </c>
      <c r="C405" s="179">
        <f t="shared" si="12"/>
        <v>6.5251930296319482E-3</v>
      </c>
      <c r="D405" s="300"/>
      <c r="E405" s="300"/>
      <c r="F405" s="299">
        <v>45365</v>
      </c>
      <c r="G405" s="14">
        <v>87.94</v>
      </c>
      <c r="H405" s="212">
        <f t="shared" si="13"/>
        <v>1.1384335154827063E-3</v>
      </c>
    </row>
    <row r="406" spans="1:8" x14ac:dyDescent="0.3">
      <c r="A406" s="299">
        <v>45364</v>
      </c>
      <c r="B406" s="300">
        <v>5165.3100000000004</v>
      </c>
      <c r="C406" s="179">
        <f t="shared" si="12"/>
        <v>2.8793432845095612E-3</v>
      </c>
      <c r="D406" s="300"/>
      <c r="E406" s="300"/>
      <c r="F406" s="299">
        <v>45364</v>
      </c>
      <c r="G406" s="14">
        <v>90.89</v>
      </c>
      <c r="H406" s="212">
        <f t="shared" si="13"/>
        <v>3.3545599272231108E-2</v>
      </c>
    </row>
    <row r="407" spans="1:8" x14ac:dyDescent="0.3">
      <c r="A407" s="299">
        <v>45363</v>
      </c>
      <c r="B407" s="300">
        <v>5175.2700000000004</v>
      </c>
      <c r="C407" s="179">
        <f t="shared" si="12"/>
        <v>1.9282482561551184E-3</v>
      </c>
      <c r="D407" s="300"/>
      <c r="E407" s="300"/>
      <c r="F407" s="299">
        <v>45363</v>
      </c>
      <c r="G407" s="14">
        <v>91.91</v>
      </c>
      <c r="H407" s="212">
        <f t="shared" si="13"/>
        <v>1.1222356694905899E-2</v>
      </c>
    </row>
    <row r="408" spans="1:8" x14ac:dyDescent="0.3">
      <c r="A408" s="299">
        <v>45362</v>
      </c>
      <c r="B408" s="300">
        <v>5117.9399999999996</v>
      </c>
      <c r="C408" s="179">
        <f t="shared" si="12"/>
        <v>-1.1077682903500863E-2</v>
      </c>
      <c r="D408" s="300"/>
      <c r="E408" s="300"/>
      <c r="F408" s="299">
        <v>45362</v>
      </c>
      <c r="G408" s="14">
        <v>85.77</v>
      </c>
      <c r="H408" s="212">
        <f t="shared" si="13"/>
        <v>-6.6804482646066865E-2</v>
      </c>
    </row>
    <row r="409" spans="1:8" x14ac:dyDescent="0.3">
      <c r="A409" s="299">
        <v>45359</v>
      </c>
      <c r="B409" s="300">
        <v>5123.6899999999996</v>
      </c>
      <c r="C409" s="179">
        <f t="shared" si="12"/>
        <v>1.1234989077637536E-3</v>
      </c>
      <c r="D409" s="300"/>
      <c r="E409" s="300"/>
      <c r="F409" s="299">
        <v>45359</v>
      </c>
      <c r="G409" s="14">
        <v>87.53</v>
      </c>
      <c r="H409" s="212">
        <f t="shared" si="13"/>
        <v>2.0519995336364838E-2</v>
      </c>
    </row>
    <row r="410" spans="1:8" x14ac:dyDescent="0.3">
      <c r="A410" s="299">
        <v>45358</v>
      </c>
      <c r="B410" s="300">
        <v>5157.3599999999997</v>
      </c>
      <c r="C410" s="179">
        <f t="shared" si="12"/>
        <v>6.5714358206683254E-3</v>
      </c>
      <c r="D410" s="300"/>
      <c r="E410" s="300"/>
      <c r="F410" s="299">
        <v>45358</v>
      </c>
      <c r="G410" s="14">
        <v>92.67</v>
      </c>
      <c r="H410" s="212">
        <f t="shared" si="13"/>
        <v>5.8722723637609997E-2</v>
      </c>
    </row>
    <row r="411" spans="1:8" x14ac:dyDescent="0.3">
      <c r="A411" s="299">
        <v>45357</v>
      </c>
      <c r="B411" s="300">
        <v>5104.76</v>
      </c>
      <c r="C411" s="179">
        <f t="shared" si="12"/>
        <v>-1.0199016551103557E-2</v>
      </c>
      <c r="D411" s="300"/>
      <c r="E411" s="300"/>
      <c r="F411" s="299">
        <v>45357</v>
      </c>
      <c r="G411" s="14">
        <v>88.7</v>
      </c>
      <c r="H411" s="212">
        <f t="shared" si="13"/>
        <v>-4.284018560483438E-2</v>
      </c>
    </row>
    <row r="412" spans="1:8" x14ac:dyDescent="0.3">
      <c r="A412" s="299">
        <v>45356</v>
      </c>
      <c r="B412" s="300">
        <v>5078.6499999999996</v>
      </c>
      <c r="C412" s="179">
        <f t="shared" si="12"/>
        <v>-5.1148339980725543E-3</v>
      </c>
      <c r="D412" s="300"/>
      <c r="E412" s="300"/>
      <c r="F412" s="299">
        <v>45356</v>
      </c>
      <c r="G412" s="14">
        <v>85.96</v>
      </c>
      <c r="H412" s="212">
        <f t="shared" si="13"/>
        <v>-3.0890642615558184E-2</v>
      </c>
    </row>
    <row r="413" spans="1:8" x14ac:dyDescent="0.3">
      <c r="A413" s="299">
        <v>45355</v>
      </c>
      <c r="B413" s="300">
        <v>5130.95</v>
      </c>
      <c r="C413" s="179">
        <f t="shared" si="12"/>
        <v>1.0298012267039525E-2</v>
      </c>
      <c r="D413" s="300"/>
      <c r="E413" s="300"/>
      <c r="F413" s="299">
        <v>45355</v>
      </c>
      <c r="G413" s="14">
        <v>85.24</v>
      </c>
      <c r="H413" s="212">
        <f t="shared" si="13"/>
        <v>-8.3759888320148468E-3</v>
      </c>
    </row>
    <row r="414" spans="1:8" x14ac:dyDescent="0.3">
      <c r="A414" s="299">
        <v>45352</v>
      </c>
      <c r="B414" s="300">
        <v>5137.08</v>
      </c>
      <c r="C414" s="179">
        <f t="shared" si="12"/>
        <v>1.1947105311882478E-3</v>
      </c>
      <c r="D414" s="300"/>
      <c r="E414" s="300"/>
      <c r="F414" s="299">
        <v>45352</v>
      </c>
      <c r="G414" s="14">
        <v>82.28</v>
      </c>
      <c r="H414" s="212">
        <f t="shared" si="13"/>
        <v>-3.4725480994838076E-2</v>
      </c>
    </row>
    <row r="415" spans="1:8" x14ac:dyDescent="0.3">
      <c r="A415" s="299">
        <v>45351</v>
      </c>
      <c r="B415" s="300">
        <v>5096.2700000000004</v>
      </c>
      <c r="C415" s="179">
        <f t="shared" si="12"/>
        <v>-7.9442017644263396E-3</v>
      </c>
      <c r="D415" s="300"/>
      <c r="E415" s="300"/>
      <c r="F415" s="299">
        <v>45351</v>
      </c>
      <c r="G415" s="14">
        <v>79.11</v>
      </c>
      <c r="H415" s="212">
        <f t="shared" si="13"/>
        <v>-3.8526981040350017E-2</v>
      </c>
    </row>
    <row r="416" spans="1:8" x14ac:dyDescent="0.3">
      <c r="A416" s="299">
        <v>45350</v>
      </c>
      <c r="B416" s="300">
        <v>5069.76</v>
      </c>
      <c r="C416" s="179">
        <f t="shared" si="12"/>
        <v>-5.2018437013737762E-3</v>
      </c>
      <c r="D416" s="300"/>
      <c r="E416" s="300"/>
      <c r="F416" s="299">
        <v>45350</v>
      </c>
      <c r="G416" s="14">
        <v>77.66</v>
      </c>
      <c r="H416" s="212">
        <f t="shared" si="13"/>
        <v>-1.8328909113892067E-2</v>
      </c>
    </row>
    <row r="417" spans="1:8" x14ac:dyDescent="0.3">
      <c r="A417" s="299">
        <v>45349</v>
      </c>
      <c r="B417" s="300">
        <v>5078.18</v>
      </c>
      <c r="C417" s="179">
        <f t="shared" si="12"/>
        <v>1.6608281259862245E-3</v>
      </c>
      <c r="D417" s="300"/>
      <c r="E417" s="300"/>
      <c r="F417" s="299">
        <v>45349</v>
      </c>
      <c r="G417" s="14">
        <v>78.7</v>
      </c>
      <c r="H417" s="212">
        <f t="shared" si="13"/>
        <v>1.3391707442699019E-2</v>
      </c>
    </row>
    <row r="418" spans="1:8" x14ac:dyDescent="0.3">
      <c r="A418" s="299">
        <v>45348</v>
      </c>
      <c r="B418" s="300">
        <v>5069.53</v>
      </c>
      <c r="C418" s="179">
        <f t="shared" si="12"/>
        <v>-1.7033661666188138E-3</v>
      </c>
      <c r="D418" s="300"/>
      <c r="E418" s="300"/>
      <c r="F418" s="299">
        <v>45348</v>
      </c>
      <c r="G418" s="14">
        <v>79.09</v>
      </c>
      <c r="H418" s="212">
        <f t="shared" si="13"/>
        <v>4.9555273189325622E-3</v>
      </c>
    </row>
    <row r="419" spans="1:8" x14ac:dyDescent="0.3">
      <c r="A419" s="299">
        <v>45345</v>
      </c>
      <c r="B419" s="300">
        <v>5088.8</v>
      </c>
      <c r="C419" s="179">
        <f t="shared" si="12"/>
        <v>3.8011413286833662E-3</v>
      </c>
      <c r="D419" s="300"/>
      <c r="E419" s="300"/>
      <c r="F419" s="299">
        <v>45345</v>
      </c>
      <c r="G419" s="14">
        <v>78.819999999999993</v>
      </c>
      <c r="H419" s="212">
        <f t="shared" si="13"/>
        <v>-3.4138323429006023E-3</v>
      </c>
    </row>
    <row r="420" spans="1:8" x14ac:dyDescent="0.3">
      <c r="A420" s="299">
        <v>45344</v>
      </c>
      <c r="B420" s="300">
        <v>5087.03</v>
      </c>
      <c r="C420" s="179">
        <f t="shared" si="12"/>
        <v>-3.4782266939170636E-4</v>
      </c>
      <c r="D420" s="300"/>
      <c r="E420" s="300"/>
      <c r="F420" s="299">
        <v>45344</v>
      </c>
      <c r="G420" s="14">
        <v>78.540000000000006</v>
      </c>
      <c r="H420" s="212">
        <f t="shared" si="13"/>
        <v>-3.5523978685610968E-3</v>
      </c>
    </row>
    <row r="421" spans="1:8" x14ac:dyDescent="0.3">
      <c r="A421" s="299">
        <v>45343</v>
      </c>
      <c r="B421" s="300">
        <v>4981.8</v>
      </c>
      <c r="C421" s="179">
        <f t="shared" si="12"/>
        <v>-2.06859405193206E-2</v>
      </c>
      <c r="D421" s="300"/>
      <c r="E421" s="300"/>
      <c r="F421" s="299">
        <v>45343</v>
      </c>
      <c r="G421" s="14">
        <v>67.47</v>
      </c>
      <c r="H421" s="212">
        <f t="shared" si="13"/>
        <v>-0.14094728800611167</v>
      </c>
    </row>
    <row r="422" spans="1:8" x14ac:dyDescent="0.3">
      <c r="A422" s="299">
        <v>45342</v>
      </c>
      <c r="B422" s="300">
        <v>4975.51</v>
      </c>
      <c r="C422" s="179">
        <f t="shared" si="12"/>
        <v>-1.2625958488899913E-3</v>
      </c>
      <c r="D422" s="300"/>
      <c r="E422" s="300"/>
      <c r="F422" s="299">
        <v>45342</v>
      </c>
      <c r="G422" s="14">
        <v>69.45</v>
      </c>
      <c r="H422" s="212">
        <f t="shared" si="13"/>
        <v>2.9346376167185495E-2</v>
      </c>
    </row>
    <row r="423" spans="1:8" x14ac:dyDescent="0.3">
      <c r="A423" s="299">
        <v>45338</v>
      </c>
      <c r="B423" s="300">
        <v>5005.57</v>
      </c>
      <c r="C423" s="179">
        <f t="shared" si="12"/>
        <v>6.0415917162259802E-3</v>
      </c>
      <c r="D423" s="300"/>
      <c r="E423" s="300"/>
      <c r="F423" s="299">
        <v>45338</v>
      </c>
      <c r="G423" s="14">
        <v>72.61</v>
      </c>
      <c r="H423" s="212">
        <f t="shared" si="13"/>
        <v>4.5500359971202275E-2</v>
      </c>
    </row>
    <row r="424" spans="1:8" x14ac:dyDescent="0.3">
      <c r="A424" s="299">
        <v>45337</v>
      </c>
      <c r="B424" s="300">
        <v>5029.7299999999996</v>
      </c>
      <c r="C424" s="179">
        <f t="shared" si="12"/>
        <v>4.826623141819919E-3</v>
      </c>
      <c r="D424" s="300"/>
      <c r="E424" s="300"/>
      <c r="F424" s="299">
        <v>45337</v>
      </c>
      <c r="G424" s="14">
        <v>72.66</v>
      </c>
      <c r="H424" s="212">
        <f t="shared" si="13"/>
        <v>6.8861038424450349E-4</v>
      </c>
    </row>
    <row r="425" spans="1:8" x14ac:dyDescent="0.3">
      <c r="A425" s="299">
        <v>45336</v>
      </c>
      <c r="B425" s="300">
        <v>5000.62</v>
      </c>
      <c r="C425" s="179">
        <f t="shared" si="12"/>
        <v>-5.7875870076524727E-3</v>
      </c>
      <c r="D425" s="300"/>
      <c r="E425" s="300"/>
      <c r="F425" s="299">
        <v>45336</v>
      </c>
      <c r="G425" s="14">
        <v>73.900000000000006</v>
      </c>
      <c r="H425" s="212">
        <f t="shared" si="13"/>
        <v>1.7065785851913207E-2</v>
      </c>
    </row>
    <row r="426" spans="1:8" x14ac:dyDescent="0.3">
      <c r="A426" s="299">
        <v>45335</v>
      </c>
      <c r="B426" s="300">
        <v>4953.17</v>
      </c>
      <c r="C426" s="179">
        <f t="shared" si="12"/>
        <v>-9.4888233859000692E-3</v>
      </c>
      <c r="D426" s="300"/>
      <c r="E426" s="300"/>
      <c r="F426" s="299">
        <v>45335</v>
      </c>
      <c r="G426" s="14">
        <v>72.13</v>
      </c>
      <c r="H426" s="212">
        <f t="shared" si="13"/>
        <v>-2.3951285520974475E-2</v>
      </c>
    </row>
    <row r="427" spans="1:8" x14ac:dyDescent="0.3">
      <c r="A427" s="299">
        <v>45334</v>
      </c>
      <c r="B427" s="300">
        <v>5021.84</v>
      </c>
      <c r="C427" s="179">
        <f t="shared" si="12"/>
        <v>1.3863848807935231E-2</v>
      </c>
      <c r="D427" s="300"/>
      <c r="E427" s="300"/>
      <c r="F427" s="299">
        <v>45334</v>
      </c>
      <c r="G427" s="14">
        <v>72.25</v>
      </c>
      <c r="H427" s="212">
        <f t="shared" si="13"/>
        <v>1.6636628309996127E-3</v>
      </c>
    </row>
    <row r="428" spans="1:8" x14ac:dyDescent="0.3">
      <c r="A428" s="299">
        <v>45331</v>
      </c>
      <c r="B428" s="300">
        <v>5026.6099999999997</v>
      </c>
      <c r="C428" s="179">
        <f t="shared" si="12"/>
        <v>9.4985105061073938E-4</v>
      </c>
      <c r="D428" s="300"/>
      <c r="E428" s="300"/>
      <c r="F428" s="299">
        <v>45331</v>
      </c>
      <c r="G428" s="14">
        <v>72.13</v>
      </c>
      <c r="H428" s="212">
        <f t="shared" si="13"/>
        <v>-1.6608996539793086E-3</v>
      </c>
    </row>
    <row r="429" spans="1:8" x14ac:dyDescent="0.3">
      <c r="A429" s="299">
        <v>45330</v>
      </c>
      <c r="B429" s="300">
        <v>4997.91</v>
      </c>
      <c r="C429" s="179">
        <f t="shared" si="12"/>
        <v>-5.7096134372867091E-3</v>
      </c>
      <c r="D429" s="300"/>
      <c r="E429" s="300"/>
      <c r="F429" s="299">
        <v>45330</v>
      </c>
      <c r="G429" s="14">
        <v>69.64</v>
      </c>
      <c r="H429" s="212">
        <f t="shared" si="13"/>
        <v>-3.4521003743241296E-2</v>
      </c>
    </row>
    <row r="430" spans="1:8" x14ac:dyDescent="0.3">
      <c r="A430" s="299">
        <v>45329</v>
      </c>
      <c r="B430" s="300">
        <v>4995.0600000000004</v>
      </c>
      <c r="C430" s="179">
        <f t="shared" si="12"/>
        <v>-5.7023835963421199E-4</v>
      </c>
      <c r="D430" s="300"/>
      <c r="E430" s="300"/>
      <c r="F430" s="299">
        <v>45329</v>
      </c>
      <c r="G430" s="14">
        <v>70.099999999999994</v>
      </c>
      <c r="H430" s="212">
        <f t="shared" si="13"/>
        <v>6.6053991958643365E-3</v>
      </c>
    </row>
    <row r="431" spans="1:8" x14ac:dyDescent="0.3">
      <c r="A431" s="299">
        <v>45328</v>
      </c>
      <c r="B431" s="300">
        <v>4954.2299999999996</v>
      </c>
      <c r="C431" s="179">
        <f t="shared" si="12"/>
        <v>-8.1740759870754243E-3</v>
      </c>
      <c r="D431" s="300"/>
      <c r="E431" s="300"/>
      <c r="F431" s="299">
        <v>45328</v>
      </c>
      <c r="G431" s="14">
        <v>68.22</v>
      </c>
      <c r="H431" s="212">
        <f t="shared" si="13"/>
        <v>-2.6818830242510638E-2</v>
      </c>
    </row>
    <row r="432" spans="1:8" x14ac:dyDescent="0.3">
      <c r="A432" s="299">
        <v>45327</v>
      </c>
      <c r="B432" s="300">
        <v>4942.8100000000004</v>
      </c>
      <c r="C432" s="179">
        <f t="shared" si="12"/>
        <v>-2.3051008935797146E-3</v>
      </c>
      <c r="D432" s="300"/>
      <c r="E432" s="300"/>
      <c r="F432" s="299">
        <v>45327</v>
      </c>
      <c r="G432" s="14">
        <v>69.33</v>
      </c>
      <c r="H432" s="212">
        <f t="shared" si="13"/>
        <v>1.6270888302550635E-2</v>
      </c>
    </row>
    <row r="433" spans="1:8" x14ac:dyDescent="0.3">
      <c r="A433" s="299">
        <v>45324</v>
      </c>
      <c r="B433" s="300">
        <v>4958.6099999999997</v>
      </c>
      <c r="C433" s="179">
        <f t="shared" si="12"/>
        <v>3.1965622793510562E-3</v>
      </c>
      <c r="D433" s="300"/>
      <c r="E433" s="300"/>
      <c r="F433" s="299">
        <v>45324</v>
      </c>
      <c r="G433" s="14">
        <v>66.16</v>
      </c>
      <c r="H433" s="212">
        <f t="shared" si="13"/>
        <v>-4.5723352084234836E-2</v>
      </c>
    </row>
    <row r="434" spans="1:8" x14ac:dyDescent="0.3">
      <c r="A434" s="299">
        <v>45323</v>
      </c>
      <c r="B434" s="300">
        <v>4906.1899999999996</v>
      </c>
      <c r="C434" s="179">
        <f t="shared" si="12"/>
        <v>-1.0571510967791409E-2</v>
      </c>
      <c r="D434" s="300"/>
      <c r="E434" s="300"/>
      <c r="F434" s="299">
        <v>45323</v>
      </c>
      <c r="G434" s="14">
        <v>63.03</v>
      </c>
      <c r="H434" s="212">
        <f t="shared" si="13"/>
        <v>-4.7309552599758109E-2</v>
      </c>
    </row>
    <row r="435" spans="1:8" x14ac:dyDescent="0.3">
      <c r="A435" s="299">
        <v>45322</v>
      </c>
      <c r="B435" s="300">
        <v>4845.6499999999996</v>
      </c>
      <c r="C435" s="179">
        <f t="shared" si="12"/>
        <v>-1.2339513960935022E-2</v>
      </c>
      <c r="D435" s="300"/>
      <c r="E435" s="300"/>
      <c r="F435" s="299">
        <v>45322</v>
      </c>
      <c r="G435" s="14">
        <v>61.53</v>
      </c>
      <c r="H435" s="212">
        <f t="shared" si="13"/>
        <v>-2.3798191337458308E-2</v>
      </c>
    </row>
    <row r="436" spans="1:8" x14ac:dyDescent="0.3">
      <c r="A436" s="299">
        <v>45321</v>
      </c>
      <c r="B436" s="300">
        <v>4924.97</v>
      </c>
      <c r="C436" s="179">
        <f t="shared" si="12"/>
        <v>1.6369320937335674E-2</v>
      </c>
      <c r="D436" s="300"/>
      <c r="E436" s="300"/>
      <c r="F436" s="299">
        <v>45321</v>
      </c>
      <c r="G436" s="14">
        <v>62.77</v>
      </c>
      <c r="H436" s="212">
        <f t="shared" si="13"/>
        <v>2.0152771006013426E-2</v>
      </c>
    </row>
    <row r="437" spans="1:8" x14ac:dyDescent="0.3">
      <c r="A437" s="299">
        <v>45320</v>
      </c>
      <c r="B437" s="300">
        <v>4927.93</v>
      </c>
      <c r="C437" s="179">
        <f t="shared" si="12"/>
        <v>6.0101888945518489E-4</v>
      </c>
      <c r="D437" s="300"/>
      <c r="E437" s="300"/>
      <c r="F437" s="299">
        <v>45320</v>
      </c>
      <c r="G437" s="14">
        <v>62.47</v>
      </c>
      <c r="H437" s="212">
        <f t="shared" si="13"/>
        <v>-4.7793531942010858E-3</v>
      </c>
    </row>
    <row r="438" spans="1:8" x14ac:dyDescent="0.3">
      <c r="A438" s="299">
        <v>45317</v>
      </c>
      <c r="B438" s="300">
        <v>4890.97</v>
      </c>
      <c r="C438" s="179">
        <f t="shared" si="12"/>
        <v>-7.5001065356041785E-3</v>
      </c>
      <c r="D438" s="300"/>
      <c r="E438" s="300"/>
      <c r="F438" s="299">
        <v>45317</v>
      </c>
      <c r="G438" s="14">
        <v>61.03</v>
      </c>
      <c r="H438" s="212">
        <f t="shared" si="13"/>
        <v>-2.305106451096528E-2</v>
      </c>
    </row>
    <row r="439" spans="1:8" x14ac:dyDescent="0.3">
      <c r="A439" s="299">
        <v>45316</v>
      </c>
      <c r="B439" s="300">
        <v>4894.16</v>
      </c>
      <c r="C439" s="179">
        <f t="shared" si="12"/>
        <v>6.5222236079942597E-4</v>
      </c>
      <c r="D439" s="300"/>
      <c r="E439" s="300"/>
      <c r="F439" s="299">
        <v>45316</v>
      </c>
      <c r="G439" s="14">
        <v>61.62</v>
      </c>
      <c r="H439" s="212">
        <f t="shared" si="13"/>
        <v>9.6673766999835209E-3</v>
      </c>
    </row>
    <row r="440" spans="1:8" x14ac:dyDescent="0.3">
      <c r="A440" s="299">
        <v>45315</v>
      </c>
      <c r="B440" s="300">
        <v>4868.55</v>
      </c>
      <c r="C440" s="179">
        <f t="shared" si="12"/>
        <v>-5.2327672164375061E-3</v>
      </c>
      <c r="D440" s="300"/>
      <c r="E440" s="300"/>
      <c r="F440" s="299">
        <v>45315</v>
      </c>
      <c r="G440" s="14">
        <v>61.36</v>
      </c>
      <c r="H440" s="212">
        <f t="shared" si="13"/>
        <v>-4.2194092827003704E-3</v>
      </c>
    </row>
    <row r="441" spans="1:8" x14ac:dyDescent="0.3">
      <c r="A441" s="299">
        <v>45314</v>
      </c>
      <c r="B441" s="300">
        <v>4864.6000000000004</v>
      </c>
      <c r="C441" s="179">
        <f t="shared" si="12"/>
        <v>-8.1132986207388402E-4</v>
      </c>
      <c r="D441" s="300"/>
      <c r="E441" s="300"/>
      <c r="F441" s="299">
        <v>45314</v>
      </c>
      <c r="G441" s="14">
        <v>59.87</v>
      </c>
      <c r="H441" s="212">
        <f t="shared" si="13"/>
        <v>-2.4282920469361202E-2</v>
      </c>
    </row>
    <row r="442" spans="1:8" x14ac:dyDescent="0.3">
      <c r="A442" s="299">
        <v>45313</v>
      </c>
      <c r="B442" s="300">
        <v>4850.43</v>
      </c>
      <c r="C442" s="179">
        <f t="shared" si="12"/>
        <v>-2.9128808123998207E-3</v>
      </c>
      <c r="D442" s="300"/>
      <c r="E442" s="300"/>
      <c r="F442" s="299">
        <v>45313</v>
      </c>
      <c r="G442" s="14">
        <v>59.65</v>
      </c>
      <c r="H442" s="212">
        <f t="shared" si="13"/>
        <v>-3.6746283614498276E-3</v>
      </c>
    </row>
    <row r="443" spans="1:8" x14ac:dyDescent="0.3">
      <c r="A443" s="299">
        <v>45310</v>
      </c>
      <c r="B443" s="300">
        <v>4839.8100000000004</v>
      </c>
      <c r="C443" s="179">
        <f t="shared" si="12"/>
        <v>-2.1894966013322748E-3</v>
      </c>
      <c r="D443" s="300"/>
      <c r="E443" s="300"/>
      <c r="F443" s="299">
        <v>45310</v>
      </c>
      <c r="G443" s="14">
        <v>59.49</v>
      </c>
      <c r="H443" s="212">
        <f t="shared" si="13"/>
        <v>-2.682313495389721E-3</v>
      </c>
    </row>
    <row r="444" spans="1:8" x14ac:dyDescent="0.3">
      <c r="A444" s="299">
        <v>45309</v>
      </c>
      <c r="B444" s="300">
        <v>4780.9399999999996</v>
      </c>
      <c r="C444" s="179">
        <f t="shared" si="12"/>
        <v>-1.2163700641141029E-2</v>
      </c>
      <c r="D444" s="300"/>
      <c r="E444" s="300"/>
      <c r="F444" s="299">
        <v>45309</v>
      </c>
      <c r="G444" s="14">
        <v>57.11</v>
      </c>
      <c r="H444" s="212">
        <f t="shared" si="13"/>
        <v>-4.0006723819129286E-2</v>
      </c>
    </row>
    <row r="445" spans="1:8" x14ac:dyDescent="0.3">
      <c r="A445" s="299">
        <v>45308</v>
      </c>
      <c r="B445" s="300">
        <v>4739.21</v>
      </c>
      <c r="C445" s="179">
        <f t="shared" si="12"/>
        <v>-8.7284090576329465E-3</v>
      </c>
      <c r="D445" s="300"/>
      <c r="E445" s="300"/>
      <c r="F445" s="299">
        <v>45308</v>
      </c>
      <c r="G445" s="14">
        <v>56.05</v>
      </c>
      <c r="H445" s="212">
        <f t="shared" si="13"/>
        <v>-1.8560672386622401E-2</v>
      </c>
    </row>
    <row r="446" spans="1:8" x14ac:dyDescent="0.3">
      <c r="A446" s="299">
        <v>45307</v>
      </c>
      <c r="B446" s="300">
        <v>4765.9799999999996</v>
      </c>
      <c r="C446" s="179">
        <f t="shared" si="12"/>
        <v>5.648620761687928E-3</v>
      </c>
      <c r="D446" s="300"/>
      <c r="E446" s="300"/>
      <c r="F446" s="299">
        <v>45307</v>
      </c>
      <c r="G446" s="14">
        <v>56.38</v>
      </c>
      <c r="H446" s="212">
        <f t="shared" si="13"/>
        <v>5.8876003568244517E-3</v>
      </c>
    </row>
    <row r="447" spans="1:8" x14ac:dyDescent="0.3">
      <c r="A447" s="299">
        <v>45303</v>
      </c>
      <c r="B447" s="300">
        <v>4783.83</v>
      </c>
      <c r="C447" s="179">
        <f t="shared" si="12"/>
        <v>3.7452947767302458E-3</v>
      </c>
      <c r="D447" s="300"/>
      <c r="E447" s="300"/>
      <c r="F447" s="299">
        <v>45303</v>
      </c>
      <c r="G447" s="14">
        <v>54.71</v>
      </c>
      <c r="H447" s="212">
        <f t="shared" si="13"/>
        <v>-2.9620432777580752E-2</v>
      </c>
    </row>
    <row r="448" spans="1:8" x14ac:dyDescent="0.3">
      <c r="A448" s="299">
        <v>45302</v>
      </c>
      <c r="B448" s="300">
        <v>4780.24</v>
      </c>
      <c r="C448" s="179">
        <f t="shared" si="12"/>
        <v>-7.504447273419812E-4</v>
      </c>
      <c r="D448" s="300"/>
      <c r="E448" s="300"/>
      <c r="F448" s="299">
        <v>45302</v>
      </c>
      <c r="G448" s="14">
        <v>54.82</v>
      </c>
      <c r="H448" s="212">
        <f t="shared" si="13"/>
        <v>2.0106013525864608E-3</v>
      </c>
    </row>
    <row r="449" spans="1:8" x14ac:dyDescent="0.3">
      <c r="A449" s="299">
        <v>45301</v>
      </c>
      <c r="B449" s="300">
        <v>4783.45</v>
      </c>
      <c r="C449" s="179">
        <f t="shared" si="12"/>
        <v>6.7151440095059023E-4</v>
      </c>
      <c r="D449" s="300"/>
      <c r="E449" s="300"/>
      <c r="F449" s="299">
        <v>45301</v>
      </c>
      <c r="G449" s="14">
        <v>54.35</v>
      </c>
      <c r="H449" s="212">
        <f t="shared" si="13"/>
        <v>-8.5735133163078459E-3</v>
      </c>
    </row>
    <row r="450" spans="1:8" x14ac:dyDescent="0.3">
      <c r="A450" s="299">
        <v>45300</v>
      </c>
      <c r="B450" s="300">
        <v>4756.5</v>
      </c>
      <c r="C450" s="179">
        <f t="shared" si="12"/>
        <v>-5.6340089266114779E-3</v>
      </c>
      <c r="D450" s="300"/>
      <c r="E450" s="300"/>
      <c r="F450" s="299">
        <v>45300</v>
      </c>
      <c r="G450" s="14">
        <v>53.14</v>
      </c>
      <c r="H450" s="212">
        <f t="shared" si="13"/>
        <v>-2.2263109475621046E-2</v>
      </c>
    </row>
    <row r="451" spans="1:8" x14ac:dyDescent="0.3">
      <c r="A451" s="299">
        <v>45299</v>
      </c>
      <c r="B451" s="300">
        <v>4763.54</v>
      </c>
      <c r="C451" s="179">
        <f t="shared" si="12"/>
        <v>1.4800798906760004E-3</v>
      </c>
      <c r="D451" s="300"/>
      <c r="E451" s="300"/>
      <c r="F451" s="299">
        <v>45299</v>
      </c>
      <c r="G451" s="14">
        <v>52.25</v>
      </c>
      <c r="H451" s="212">
        <f t="shared" si="13"/>
        <v>-1.674821226947687E-2</v>
      </c>
    </row>
    <row r="452" spans="1:8" x14ac:dyDescent="0.3">
      <c r="A452" s="299">
        <v>45296</v>
      </c>
      <c r="B452" s="300">
        <v>4697.24</v>
      </c>
      <c r="C452" s="179">
        <f t="shared" si="12"/>
        <v>-1.3918220483086108E-2</v>
      </c>
      <c r="D452" s="300"/>
      <c r="E452" s="300"/>
      <c r="F452" s="299">
        <v>45296</v>
      </c>
      <c r="G452" s="14">
        <v>49.1</v>
      </c>
      <c r="H452" s="212">
        <f t="shared" si="13"/>
        <v>-6.0287081339712945E-2</v>
      </c>
    </row>
    <row r="453" spans="1:8" x14ac:dyDescent="0.3">
      <c r="A453" s="299">
        <v>45295</v>
      </c>
      <c r="B453" s="300">
        <v>4688.68</v>
      </c>
      <c r="C453" s="179">
        <f t="shared" si="12"/>
        <v>-1.8223467397875392E-3</v>
      </c>
      <c r="D453" s="300"/>
      <c r="E453" s="300"/>
      <c r="F453" s="299">
        <v>45295</v>
      </c>
      <c r="G453" s="14">
        <v>48</v>
      </c>
      <c r="H453" s="212">
        <f t="shared" si="13"/>
        <v>-2.2403258655804503E-2</v>
      </c>
    </row>
    <row r="454" spans="1:8" x14ac:dyDescent="0.3">
      <c r="A454" s="299">
        <v>45294</v>
      </c>
      <c r="B454" s="300">
        <v>4704.8100000000004</v>
      </c>
      <c r="C454" s="179">
        <f t="shared" ref="C454:C517" si="14">B454/B453-1</f>
        <v>3.440200653488823E-3</v>
      </c>
      <c r="D454" s="300"/>
      <c r="E454" s="300"/>
      <c r="F454" s="299">
        <v>45294</v>
      </c>
      <c r="G454" s="14">
        <v>47.57</v>
      </c>
      <c r="H454" s="212">
        <f t="shared" ref="H454:H517" si="15">G454/G453-1</f>
        <v>-8.9583333333332904E-3</v>
      </c>
    </row>
    <row r="455" spans="1:8" x14ac:dyDescent="0.3">
      <c r="A455" s="299">
        <v>45293</v>
      </c>
      <c r="B455" s="300">
        <v>4742.83</v>
      </c>
      <c r="C455" s="179">
        <f t="shared" si="14"/>
        <v>8.0810914787206034E-3</v>
      </c>
      <c r="D455" s="300"/>
      <c r="E455" s="300"/>
      <c r="F455" s="299">
        <v>45293</v>
      </c>
      <c r="G455" s="14">
        <v>48.17</v>
      </c>
      <c r="H455" s="212">
        <f t="shared" si="15"/>
        <v>1.2612991381122596E-2</v>
      </c>
    </row>
    <row r="456" spans="1:8" x14ac:dyDescent="0.3">
      <c r="A456" s="299">
        <v>45289</v>
      </c>
      <c r="B456" s="300">
        <v>4769.83</v>
      </c>
      <c r="C456" s="179">
        <f t="shared" si="14"/>
        <v>5.6928036636354484E-3</v>
      </c>
      <c r="D456" s="300"/>
      <c r="E456" s="300"/>
      <c r="F456" s="299">
        <v>45289</v>
      </c>
      <c r="G456" s="14">
        <v>49.52</v>
      </c>
      <c r="H456" s="212">
        <f t="shared" si="15"/>
        <v>2.8025742163172218E-2</v>
      </c>
    </row>
    <row r="457" spans="1:8" x14ac:dyDescent="0.3">
      <c r="A457" s="299">
        <v>45288</v>
      </c>
      <c r="B457" s="300">
        <v>4783.3500000000004</v>
      </c>
      <c r="C457" s="179">
        <f t="shared" si="14"/>
        <v>2.8344825706576593E-3</v>
      </c>
      <c r="D457" s="300"/>
      <c r="E457" s="300"/>
      <c r="F457" s="299">
        <v>45288</v>
      </c>
      <c r="G457" s="14">
        <v>49.52</v>
      </c>
      <c r="H457" s="212">
        <f t="shared" si="15"/>
        <v>0</v>
      </c>
    </row>
    <row r="458" spans="1:8" x14ac:dyDescent="0.3">
      <c r="A458" s="299">
        <v>45287</v>
      </c>
      <c r="B458" s="300">
        <v>4781.58</v>
      </c>
      <c r="C458" s="179">
        <f t="shared" si="14"/>
        <v>-3.7003355389009229E-4</v>
      </c>
      <c r="D458" s="300"/>
      <c r="E458" s="300"/>
      <c r="F458" s="299">
        <v>45287</v>
      </c>
      <c r="G458" s="14">
        <v>49.42</v>
      </c>
      <c r="H458" s="212">
        <f t="shared" si="15"/>
        <v>-2.0193861066236662E-3</v>
      </c>
    </row>
    <row r="459" spans="1:8" x14ac:dyDescent="0.3">
      <c r="A459" s="299">
        <v>45286</v>
      </c>
      <c r="B459" s="300">
        <v>4774.75</v>
      </c>
      <c r="C459" s="179">
        <f t="shared" si="14"/>
        <v>-1.4283981445463168E-3</v>
      </c>
      <c r="D459" s="300"/>
      <c r="E459" s="300"/>
      <c r="F459" s="299">
        <v>45286</v>
      </c>
      <c r="G459" s="14">
        <v>49.28</v>
      </c>
      <c r="H459" s="212">
        <f t="shared" si="15"/>
        <v>-2.8328611898017497E-3</v>
      </c>
    </row>
    <row r="460" spans="1:8" x14ac:dyDescent="0.3">
      <c r="A460" s="299">
        <v>45282</v>
      </c>
      <c r="B460" s="300">
        <v>4754.63</v>
      </c>
      <c r="C460" s="179">
        <f t="shared" si="14"/>
        <v>-4.2138331849834731E-3</v>
      </c>
      <c r="D460" s="300"/>
      <c r="E460" s="300"/>
      <c r="F460" s="299">
        <v>45282</v>
      </c>
      <c r="G460" s="14">
        <v>48.83</v>
      </c>
      <c r="H460" s="212">
        <f t="shared" si="15"/>
        <v>-9.1314935064935598E-3</v>
      </c>
    </row>
    <row r="461" spans="1:8" x14ac:dyDescent="0.3">
      <c r="A461" s="299">
        <v>45281</v>
      </c>
      <c r="B461" s="300">
        <v>4746.75</v>
      </c>
      <c r="C461" s="179">
        <f t="shared" si="14"/>
        <v>-1.6573319059527414E-3</v>
      </c>
      <c r="D461" s="300"/>
      <c r="E461" s="300"/>
      <c r="F461" s="299">
        <v>45281</v>
      </c>
      <c r="G461" s="14">
        <v>48.99</v>
      </c>
      <c r="H461" s="212">
        <f t="shared" si="15"/>
        <v>3.2766741757117579E-3</v>
      </c>
    </row>
    <row r="462" spans="1:8" x14ac:dyDescent="0.3">
      <c r="A462" s="299">
        <v>45280</v>
      </c>
      <c r="B462" s="300">
        <v>4698.3500000000004</v>
      </c>
      <c r="C462" s="179">
        <f t="shared" si="14"/>
        <v>-1.0196450202770269E-2</v>
      </c>
      <c r="D462" s="300"/>
      <c r="E462" s="300"/>
      <c r="F462" s="299">
        <v>45280</v>
      </c>
      <c r="G462" s="14">
        <v>48.11</v>
      </c>
      <c r="H462" s="212">
        <f t="shared" si="15"/>
        <v>-1.796284956113503E-2</v>
      </c>
    </row>
    <row r="463" spans="1:8" x14ac:dyDescent="0.3">
      <c r="A463" s="299">
        <v>45279</v>
      </c>
      <c r="B463" s="300">
        <v>4768.37</v>
      </c>
      <c r="C463" s="179">
        <f t="shared" si="14"/>
        <v>1.4903104281290158E-2</v>
      </c>
      <c r="D463" s="300"/>
      <c r="E463" s="300"/>
      <c r="F463" s="299">
        <v>45279</v>
      </c>
      <c r="G463" s="14">
        <v>49.6</v>
      </c>
      <c r="H463" s="212">
        <f t="shared" si="15"/>
        <v>3.0970692163791336E-2</v>
      </c>
    </row>
    <row r="464" spans="1:8" x14ac:dyDescent="0.3">
      <c r="A464" s="299">
        <v>45278</v>
      </c>
      <c r="B464" s="300">
        <v>4740.5600000000004</v>
      </c>
      <c r="C464" s="179">
        <f t="shared" si="14"/>
        <v>-5.832181646977741E-3</v>
      </c>
      <c r="D464" s="300"/>
      <c r="E464" s="300"/>
      <c r="F464" s="299">
        <v>45278</v>
      </c>
      <c r="G464" s="14">
        <v>50.08</v>
      </c>
      <c r="H464" s="212">
        <f t="shared" si="15"/>
        <v>9.6774193548385679E-3</v>
      </c>
    </row>
    <row r="465" spans="1:8" x14ac:dyDescent="0.3">
      <c r="A465" s="299">
        <v>45275</v>
      </c>
      <c r="B465" s="300">
        <v>4719.1899999999996</v>
      </c>
      <c r="C465" s="179">
        <f t="shared" si="14"/>
        <v>-4.5079062389254965E-3</v>
      </c>
      <c r="D465" s="300"/>
      <c r="E465" s="300"/>
      <c r="F465" s="299">
        <v>45275</v>
      </c>
      <c r="G465" s="14">
        <v>48.89</v>
      </c>
      <c r="H465" s="212">
        <f t="shared" si="15"/>
        <v>-2.3761980830670937E-2</v>
      </c>
    </row>
    <row r="466" spans="1:8" x14ac:dyDescent="0.3">
      <c r="A466" s="299">
        <v>45274</v>
      </c>
      <c r="B466" s="300">
        <v>4719.55</v>
      </c>
      <c r="C466" s="179">
        <f t="shared" si="14"/>
        <v>7.6284277598537287E-5</v>
      </c>
      <c r="D466" s="300"/>
      <c r="E466" s="300"/>
      <c r="F466" s="299">
        <v>45274</v>
      </c>
      <c r="G466" s="14">
        <v>48.35</v>
      </c>
      <c r="H466" s="212">
        <f t="shared" si="15"/>
        <v>-1.1045203518101898E-2</v>
      </c>
    </row>
    <row r="467" spans="1:8" x14ac:dyDescent="0.3">
      <c r="A467" s="299">
        <v>45273</v>
      </c>
      <c r="B467" s="300">
        <v>4707.09</v>
      </c>
      <c r="C467" s="179">
        <f t="shared" si="14"/>
        <v>-2.6400822112278011E-3</v>
      </c>
      <c r="D467" s="300"/>
      <c r="E467" s="300"/>
      <c r="F467" s="299">
        <v>45273</v>
      </c>
      <c r="G467" s="14">
        <v>48.09</v>
      </c>
      <c r="H467" s="212">
        <f t="shared" si="15"/>
        <v>-5.3774560496380186E-3</v>
      </c>
    </row>
    <row r="468" spans="1:8" x14ac:dyDescent="0.3">
      <c r="A468" s="299">
        <v>45272</v>
      </c>
      <c r="B468" s="300">
        <v>4643.7</v>
      </c>
      <c r="C468" s="179">
        <f t="shared" si="14"/>
        <v>-1.3466919051898341E-2</v>
      </c>
      <c r="D468" s="300"/>
      <c r="E468" s="300"/>
      <c r="F468" s="299">
        <v>45272</v>
      </c>
      <c r="G468" s="14">
        <v>47.66</v>
      </c>
      <c r="H468" s="212">
        <f t="shared" si="15"/>
        <v>-8.9415678935330645E-3</v>
      </c>
    </row>
    <row r="469" spans="1:8" x14ac:dyDescent="0.3">
      <c r="A469" s="299">
        <v>45271</v>
      </c>
      <c r="B469" s="300">
        <v>4622.4399999999996</v>
      </c>
      <c r="C469" s="179">
        <f t="shared" si="14"/>
        <v>-4.5782457953786881E-3</v>
      </c>
      <c r="D469" s="300"/>
      <c r="E469" s="300"/>
      <c r="F469" s="299">
        <v>45271</v>
      </c>
      <c r="G469" s="14">
        <v>46.63</v>
      </c>
      <c r="H469" s="212">
        <f t="shared" si="15"/>
        <v>-2.1611414183801858E-2</v>
      </c>
    </row>
    <row r="470" spans="1:8" x14ac:dyDescent="0.3">
      <c r="A470" s="299">
        <v>45268</v>
      </c>
      <c r="B470" s="300">
        <v>4604.37</v>
      </c>
      <c r="C470" s="179">
        <f t="shared" si="14"/>
        <v>-3.9091908169710532E-3</v>
      </c>
      <c r="D470" s="300"/>
      <c r="E470" s="300"/>
      <c r="F470" s="299">
        <v>45268</v>
      </c>
      <c r="G470" s="14">
        <v>47.51</v>
      </c>
      <c r="H470" s="212">
        <f t="shared" si="15"/>
        <v>1.887197083422687E-2</v>
      </c>
    </row>
    <row r="471" spans="1:8" x14ac:dyDescent="0.3">
      <c r="A471" s="299">
        <v>45267</v>
      </c>
      <c r="B471" s="300">
        <v>4585.59</v>
      </c>
      <c r="C471" s="179">
        <f t="shared" si="14"/>
        <v>-4.0787338984485944E-3</v>
      </c>
      <c r="D471" s="300"/>
      <c r="E471" s="300"/>
      <c r="F471" s="299">
        <v>45267</v>
      </c>
      <c r="G471" s="14">
        <v>46.6</v>
      </c>
      <c r="H471" s="212">
        <f t="shared" si="15"/>
        <v>-1.9153862344769457E-2</v>
      </c>
    </row>
    <row r="472" spans="1:8" x14ac:dyDescent="0.3">
      <c r="A472" s="299">
        <v>45266</v>
      </c>
      <c r="B472" s="300">
        <v>4549.34</v>
      </c>
      <c r="C472" s="179">
        <f t="shared" si="14"/>
        <v>-7.9051986767242344E-3</v>
      </c>
      <c r="D472" s="300"/>
      <c r="E472" s="300"/>
      <c r="F472" s="299">
        <v>45266</v>
      </c>
      <c r="G472" s="14">
        <v>45.5</v>
      </c>
      <c r="H472" s="212">
        <f t="shared" si="15"/>
        <v>-2.3605150214592308E-2</v>
      </c>
    </row>
    <row r="473" spans="1:8" x14ac:dyDescent="0.3">
      <c r="A473" s="299">
        <v>45265</v>
      </c>
      <c r="B473" s="300">
        <v>4567.18</v>
      </c>
      <c r="C473" s="179">
        <f t="shared" si="14"/>
        <v>3.9214479462954532E-3</v>
      </c>
      <c r="D473" s="300"/>
      <c r="E473" s="300"/>
      <c r="F473" s="299">
        <v>45265</v>
      </c>
      <c r="G473" s="14">
        <v>46.57</v>
      </c>
      <c r="H473" s="212">
        <f t="shared" si="15"/>
        <v>2.3516483516483611E-2</v>
      </c>
    </row>
    <row r="474" spans="1:8" x14ac:dyDescent="0.3">
      <c r="A474" s="299">
        <v>45264</v>
      </c>
      <c r="B474" s="300">
        <v>4569.78</v>
      </c>
      <c r="C474" s="179">
        <f t="shared" si="14"/>
        <v>5.6927907373904851E-4</v>
      </c>
      <c r="D474" s="300"/>
      <c r="E474" s="300"/>
      <c r="F474" s="299">
        <v>45264</v>
      </c>
      <c r="G474" s="14">
        <v>45.51</v>
      </c>
      <c r="H474" s="212">
        <f t="shared" si="15"/>
        <v>-2.2761434399828251E-2</v>
      </c>
    </row>
    <row r="475" spans="1:8" x14ac:dyDescent="0.3">
      <c r="A475" s="299">
        <v>45261</v>
      </c>
      <c r="B475" s="300">
        <v>4594.63</v>
      </c>
      <c r="C475" s="179">
        <f t="shared" si="14"/>
        <v>5.437898542161923E-3</v>
      </c>
      <c r="D475" s="300"/>
      <c r="E475" s="300"/>
      <c r="F475" s="299">
        <v>45261</v>
      </c>
      <c r="G475" s="14">
        <v>46.76</v>
      </c>
      <c r="H475" s="212">
        <f t="shared" si="15"/>
        <v>2.7466490881125072E-2</v>
      </c>
    </row>
    <row r="476" spans="1:8" x14ac:dyDescent="0.3">
      <c r="A476" s="299">
        <v>45260</v>
      </c>
      <c r="B476" s="300">
        <v>4567.8</v>
      </c>
      <c r="C476" s="179">
        <f t="shared" si="14"/>
        <v>-5.8394255903087E-3</v>
      </c>
      <c r="D476" s="300"/>
      <c r="E476" s="300"/>
      <c r="F476" s="299">
        <v>45260</v>
      </c>
      <c r="G476" s="14">
        <v>46.77</v>
      </c>
      <c r="H476" s="212">
        <f t="shared" si="15"/>
        <v>2.1385799828932406E-4</v>
      </c>
    </row>
    <row r="477" spans="1:8" x14ac:dyDescent="0.3">
      <c r="A477" s="299">
        <v>45259</v>
      </c>
      <c r="B477" s="300">
        <v>4550.58</v>
      </c>
      <c r="C477" s="179">
        <f t="shared" si="14"/>
        <v>-3.7698673321949761E-3</v>
      </c>
      <c r="D477" s="300"/>
      <c r="E477" s="300"/>
      <c r="F477" s="299">
        <v>45259</v>
      </c>
      <c r="G477" s="14">
        <v>48.14</v>
      </c>
      <c r="H477" s="212">
        <f t="shared" si="15"/>
        <v>2.9292281376950946E-2</v>
      </c>
    </row>
    <row r="478" spans="1:8" x14ac:dyDescent="0.3">
      <c r="A478" s="299">
        <v>45258</v>
      </c>
      <c r="B478" s="300">
        <v>4554.8900000000003</v>
      </c>
      <c r="C478" s="179">
        <f t="shared" si="14"/>
        <v>9.4713201394114321E-4</v>
      </c>
      <c r="D478" s="300"/>
      <c r="E478" s="300"/>
      <c r="F478" s="299">
        <v>45258</v>
      </c>
      <c r="G478" s="14">
        <v>47.82</v>
      </c>
      <c r="H478" s="212">
        <f t="shared" si="15"/>
        <v>-6.6472787702533953E-3</v>
      </c>
    </row>
    <row r="479" spans="1:8" x14ac:dyDescent="0.3">
      <c r="A479" s="299">
        <v>45257</v>
      </c>
      <c r="B479" s="300">
        <v>4550.43</v>
      </c>
      <c r="C479" s="179">
        <f t="shared" si="14"/>
        <v>-9.79167444219331E-4</v>
      </c>
      <c r="D479" s="300"/>
      <c r="E479" s="300"/>
      <c r="F479" s="299">
        <v>45257</v>
      </c>
      <c r="G479" s="14">
        <v>48.24</v>
      </c>
      <c r="H479" s="212">
        <f t="shared" si="15"/>
        <v>8.7829360100377674E-3</v>
      </c>
    </row>
    <row r="480" spans="1:8" x14ac:dyDescent="0.3">
      <c r="A480" s="299">
        <v>45254</v>
      </c>
      <c r="B480" s="300">
        <v>4559.34</v>
      </c>
      <c r="C480" s="179">
        <f t="shared" si="14"/>
        <v>1.9580567111239233E-3</v>
      </c>
      <c r="D480" s="300"/>
      <c r="E480" s="300"/>
      <c r="F480" s="299">
        <v>45254</v>
      </c>
      <c r="G480" s="14">
        <v>47.78</v>
      </c>
      <c r="H480" s="212">
        <f t="shared" si="15"/>
        <v>-9.5356550580431021E-3</v>
      </c>
    </row>
    <row r="481" spans="1:8" x14ac:dyDescent="0.3">
      <c r="A481" s="299">
        <v>45252</v>
      </c>
      <c r="B481" s="300">
        <v>4556.62</v>
      </c>
      <c r="C481" s="179">
        <f t="shared" si="14"/>
        <v>-5.9657757482445284E-4</v>
      </c>
      <c r="D481" s="300"/>
      <c r="E481" s="300"/>
      <c r="F481" s="299">
        <v>45252</v>
      </c>
      <c r="G481" s="14">
        <v>48.72</v>
      </c>
      <c r="H481" s="212">
        <f t="shared" si="15"/>
        <v>1.9673503557974037E-2</v>
      </c>
    </row>
    <row r="482" spans="1:8" x14ac:dyDescent="0.3">
      <c r="A482" s="299">
        <v>45251</v>
      </c>
      <c r="B482" s="300">
        <v>4538.1899999999996</v>
      </c>
      <c r="C482" s="179">
        <f t="shared" si="14"/>
        <v>-4.0446646856662216E-3</v>
      </c>
      <c r="D482" s="300"/>
      <c r="E482" s="300"/>
      <c r="F482" s="299">
        <v>45251</v>
      </c>
      <c r="G482" s="14">
        <v>49.94</v>
      </c>
      <c r="H482" s="212">
        <f t="shared" si="15"/>
        <v>2.504105090311981E-2</v>
      </c>
    </row>
    <row r="483" spans="1:8" x14ac:dyDescent="0.3">
      <c r="A483" s="299">
        <v>45250</v>
      </c>
      <c r="B483" s="300">
        <v>4547.38</v>
      </c>
      <c r="C483" s="179">
        <f t="shared" si="14"/>
        <v>2.0250364131957355E-3</v>
      </c>
      <c r="D483" s="300"/>
      <c r="E483" s="300"/>
      <c r="F483" s="299">
        <v>45250</v>
      </c>
      <c r="G483" s="14">
        <v>50.41</v>
      </c>
      <c r="H483" s="212">
        <f t="shared" si="15"/>
        <v>9.4112935522627783E-3</v>
      </c>
    </row>
    <row r="484" spans="1:8" x14ac:dyDescent="0.3">
      <c r="A484" s="299">
        <v>45247</v>
      </c>
      <c r="B484" s="300">
        <v>4514.0200000000004</v>
      </c>
      <c r="C484" s="179">
        <f t="shared" si="14"/>
        <v>-7.3360924312459996E-3</v>
      </c>
      <c r="D484" s="300"/>
      <c r="E484" s="300"/>
      <c r="F484" s="299">
        <v>45247</v>
      </c>
      <c r="G484" s="14">
        <v>49.3</v>
      </c>
      <c r="H484" s="212">
        <f t="shared" si="15"/>
        <v>-2.201944058718508E-2</v>
      </c>
    </row>
    <row r="485" spans="1:8" x14ac:dyDescent="0.3">
      <c r="A485" s="299">
        <v>45246</v>
      </c>
      <c r="B485" s="300">
        <v>4508.24</v>
      </c>
      <c r="C485" s="179">
        <f t="shared" si="14"/>
        <v>-1.2804551153962063E-3</v>
      </c>
      <c r="D485" s="300"/>
      <c r="E485" s="300"/>
      <c r="F485" s="299">
        <v>45246</v>
      </c>
      <c r="G485" s="14">
        <v>49.48</v>
      </c>
      <c r="H485" s="212">
        <f t="shared" si="15"/>
        <v>3.6511156186611604E-3</v>
      </c>
    </row>
    <row r="486" spans="1:8" x14ac:dyDescent="0.3">
      <c r="A486" s="299">
        <v>45245</v>
      </c>
      <c r="B486" s="300">
        <v>4502.88</v>
      </c>
      <c r="C486" s="179">
        <f t="shared" si="14"/>
        <v>-1.1889340407785776E-3</v>
      </c>
      <c r="D486" s="300"/>
      <c r="E486" s="300"/>
      <c r="F486" s="299">
        <v>45245</v>
      </c>
      <c r="G486" s="14">
        <v>48.89</v>
      </c>
      <c r="H486" s="212">
        <f t="shared" si="15"/>
        <v>-1.1924009700889138E-2</v>
      </c>
    </row>
    <row r="487" spans="1:8" x14ac:dyDescent="0.3">
      <c r="A487" s="299">
        <v>45244</v>
      </c>
      <c r="B487" s="300">
        <v>4495.7</v>
      </c>
      <c r="C487" s="179">
        <f t="shared" si="14"/>
        <v>-1.5945350531215707E-3</v>
      </c>
      <c r="D487" s="300"/>
      <c r="E487" s="300"/>
      <c r="F487" s="299">
        <v>45244</v>
      </c>
      <c r="G487" s="14">
        <v>49.66</v>
      </c>
      <c r="H487" s="212">
        <f t="shared" si="15"/>
        <v>1.5749642053589641E-2</v>
      </c>
    </row>
    <row r="488" spans="1:8" x14ac:dyDescent="0.3">
      <c r="A488" s="299">
        <v>45243</v>
      </c>
      <c r="B488" s="300">
        <v>4411.55</v>
      </c>
      <c r="C488" s="179">
        <f t="shared" si="14"/>
        <v>-1.8717885979936288E-2</v>
      </c>
      <c r="D488" s="300"/>
      <c r="E488" s="300"/>
      <c r="F488" s="299">
        <v>45243</v>
      </c>
      <c r="G488" s="14">
        <v>48.62</v>
      </c>
      <c r="H488" s="212">
        <f t="shared" si="15"/>
        <v>-2.0942408376963373E-2</v>
      </c>
    </row>
    <row r="489" spans="1:8" x14ac:dyDescent="0.3">
      <c r="A489" s="299">
        <v>45240</v>
      </c>
      <c r="B489" s="300">
        <v>4415.24</v>
      </c>
      <c r="C489" s="179">
        <f t="shared" si="14"/>
        <v>8.3644070678090543E-4</v>
      </c>
      <c r="D489" s="300"/>
      <c r="E489" s="300"/>
      <c r="F489" s="299">
        <v>45240</v>
      </c>
      <c r="G489" s="14">
        <v>48.33</v>
      </c>
      <c r="H489" s="212">
        <f t="shared" si="15"/>
        <v>-5.9646236116823736E-3</v>
      </c>
    </row>
    <row r="490" spans="1:8" x14ac:dyDescent="0.3">
      <c r="A490" s="299">
        <v>45239</v>
      </c>
      <c r="B490" s="300">
        <v>4347.3500000000004</v>
      </c>
      <c r="C490" s="179">
        <f t="shared" si="14"/>
        <v>-1.5376287585725623E-2</v>
      </c>
      <c r="D490" s="300"/>
      <c r="E490" s="300"/>
      <c r="F490" s="299">
        <v>45239</v>
      </c>
      <c r="G490" s="14">
        <v>46.95</v>
      </c>
      <c r="H490" s="212">
        <f t="shared" si="15"/>
        <v>-2.8553693358162491E-2</v>
      </c>
    </row>
    <row r="491" spans="1:8" x14ac:dyDescent="0.3">
      <c r="A491" s="299">
        <v>45238</v>
      </c>
      <c r="B491" s="300">
        <v>4382.78</v>
      </c>
      <c r="C491" s="179">
        <f t="shared" si="14"/>
        <v>8.1497924022679857E-3</v>
      </c>
      <c r="D491" s="300"/>
      <c r="E491" s="300"/>
      <c r="F491" s="299">
        <v>45238</v>
      </c>
      <c r="G491" s="14">
        <v>46.57</v>
      </c>
      <c r="H491" s="212">
        <f t="shared" si="15"/>
        <v>-8.0937167199148785E-3</v>
      </c>
    </row>
    <row r="492" spans="1:8" x14ac:dyDescent="0.3">
      <c r="A492" s="299">
        <v>45237</v>
      </c>
      <c r="B492" s="300">
        <v>4378.38</v>
      </c>
      <c r="C492" s="179">
        <f t="shared" si="14"/>
        <v>-1.0039290130920975E-3</v>
      </c>
      <c r="D492" s="300"/>
      <c r="E492" s="300"/>
      <c r="F492" s="299">
        <v>45237</v>
      </c>
      <c r="G492" s="14">
        <v>45.96</v>
      </c>
      <c r="H492" s="212">
        <f t="shared" si="15"/>
        <v>-1.3098561305561529E-2</v>
      </c>
    </row>
    <row r="493" spans="1:8" x14ac:dyDescent="0.3">
      <c r="A493" s="299">
        <v>45236</v>
      </c>
      <c r="B493" s="300">
        <v>4365.9799999999996</v>
      </c>
      <c r="C493" s="179">
        <f t="shared" si="14"/>
        <v>-2.8320977165071648E-3</v>
      </c>
      <c r="D493" s="300"/>
      <c r="E493" s="300"/>
      <c r="F493" s="299">
        <v>45236</v>
      </c>
      <c r="G493" s="14">
        <v>45.75</v>
      </c>
      <c r="H493" s="212">
        <f t="shared" si="15"/>
        <v>-4.5691906005221883E-3</v>
      </c>
    </row>
    <row r="494" spans="1:8" x14ac:dyDescent="0.3">
      <c r="A494" s="299">
        <v>45233</v>
      </c>
      <c r="B494" s="300">
        <v>4358.34</v>
      </c>
      <c r="C494" s="179">
        <f t="shared" si="14"/>
        <v>-1.749893494702115E-3</v>
      </c>
      <c r="D494" s="300"/>
      <c r="E494" s="300"/>
      <c r="F494" s="299">
        <v>45233</v>
      </c>
      <c r="G494" s="14">
        <v>45.01</v>
      </c>
      <c r="H494" s="212">
        <f t="shared" si="15"/>
        <v>-1.6174863387978133E-2</v>
      </c>
    </row>
    <row r="495" spans="1:8" x14ac:dyDescent="0.3">
      <c r="A495" s="299">
        <v>45232</v>
      </c>
      <c r="B495" s="300">
        <v>4317.78</v>
      </c>
      <c r="C495" s="179">
        <f t="shared" si="14"/>
        <v>-9.3062955161828942E-3</v>
      </c>
      <c r="D495" s="300"/>
      <c r="E495" s="300"/>
      <c r="F495" s="299">
        <v>45232</v>
      </c>
      <c r="G495" s="14">
        <v>43.51</v>
      </c>
      <c r="H495" s="212">
        <f t="shared" si="15"/>
        <v>-3.332592757165076E-2</v>
      </c>
    </row>
    <row r="496" spans="1:8" x14ac:dyDescent="0.3">
      <c r="A496" s="299">
        <v>45231</v>
      </c>
      <c r="B496" s="300">
        <v>4237.8599999999997</v>
      </c>
      <c r="C496" s="179">
        <f t="shared" si="14"/>
        <v>-1.8509511832469516E-2</v>
      </c>
      <c r="D496" s="300"/>
      <c r="E496" s="300"/>
      <c r="F496" s="299">
        <v>45231</v>
      </c>
      <c r="G496" s="14">
        <v>42.33</v>
      </c>
      <c r="H496" s="212">
        <f t="shared" si="15"/>
        <v>-2.7120202252355785E-2</v>
      </c>
    </row>
    <row r="497" spans="1:8" x14ac:dyDescent="0.3">
      <c r="A497" s="299">
        <v>45230</v>
      </c>
      <c r="B497" s="300">
        <v>4193.8</v>
      </c>
      <c r="C497" s="179">
        <f t="shared" si="14"/>
        <v>-1.03967568536949E-2</v>
      </c>
      <c r="D497" s="300"/>
      <c r="E497" s="300"/>
      <c r="F497" s="299">
        <v>45230</v>
      </c>
      <c r="G497" s="14">
        <v>40.78</v>
      </c>
      <c r="H497" s="212">
        <f t="shared" si="15"/>
        <v>-3.6617056461138553E-2</v>
      </c>
    </row>
    <row r="498" spans="1:8" x14ac:dyDescent="0.3">
      <c r="A498" s="299">
        <v>45229</v>
      </c>
      <c r="B498" s="300">
        <v>4166.82</v>
      </c>
      <c r="C498" s="179">
        <f t="shared" si="14"/>
        <v>-6.4333063093138243E-3</v>
      </c>
      <c r="D498" s="300"/>
      <c r="E498" s="300"/>
      <c r="F498" s="299">
        <v>45229</v>
      </c>
      <c r="G498" s="14">
        <v>41.16</v>
      </c>
      <c r="H498" s="212">
        <f t="shared" si="15"/>
        <v>9.3182932810200736E-3</v>
      </c>
    </row>
    <row r="499" spans="1:8" x14ac:dyDescent="0.3">
      <c r="A499" s="299">
        <v>45226</v>
      </c>
      <c r="B499" s="300">
        <v>4117.37</v>
      </c>
      <c r="C499" s="179">
        <f t="shared" si="14"/>
        <v>-1.1867563273671444E-2</v>
      </c>
      <c r="D499" s="300"/>
      <c r="E499" s="300"/>
      <c r="F499" s="299">
        <v>45226</v>
      </c>
      <c r="G499" s="14">
        <v>40.5</v>
      </c>
      <c r="H499" s="212">
        <f t="shared" si="15"/>
        <v>-1.60349854227404E-2</v>
      </c>
    </row>
    <row r="500" spans="1:8" x14ac:dyDescent="0.3">
      <c r="A500" s="299">
        <v>45225</v>
      </c>
      <c r="B500" s="300">
        <v>4137.2299999999996</v>
      </c>
      <c r="C500" s="179">
        <f t="shared" si="14"/>
        <v>4.823467407592652E-3</v>
      </c>
      <c r="D500" s="300"/>
      <c r="E500" s="300"/>
      <c r="F500" s="299">
        <v>45225</v>
      </c>
      <c r="G500" s="14">
        <v>40.33</v>
      </c>
      <c r="H500" s="212">
        <f t="shared" si="15"/>
        <v>-4.1975308641976072E-3</v>
      </c>
    </row>
    <row r="501" spans="1:8" x14ac:dyDescent="0.3">
      <c r="A501" s="299">
        <v>45224</v>
      </c>
      <c r="B501" s="300">
        <v>4186.7700000000004</v>
      </c>
      <c r="C501" s="179">
        <f t="shared" si="14"/>
        <v>1.1974195294919721E-2</v>
      </c>
      <c r="D501" s="300"/>
      <c r="E501" s="300"/>
      <c r="F501" s="299">
        <v>45224</v>
      </c>
      <c r="G501" s="14">
        <v>41.78</v>
      </c>
      <c r="H501" s="212">
        <f t="shared" si="15"/>
        <v>3.5953384577237957E-2</v>
      </c>
    </row>
    <row r="502" spans="1:8" x14ac:dyDescent="0.3">
      <c r="A502" s="299">
        <v>45223</v>
      </c>
      <c r="B502" s="300">
        <v>4247.68</v>
      </c>
      <c r="C502" s="179">
        <f t="shared" si="14"/>
        <v>1.4548207806972968E-2</v>
      </c>
      <c r="D502" s="300"/>
      <c r="E502" s="300"/>
      <c r="F502" s="299">
        <v>45223</v>
      </c>
      <c r="G502" s="14">
        <v>43.66</v>
      </c>
      <c r="H502" s="212">
        <f t="shared" si="15"/>
        <v>4.4997606510291943E-2</v>
      </c>
    </row>
    <row r="503" spans="1:8" x14ac:dyDescent="0.3">
      <c r="A503" s="299">
        <v>45222</v>
      </c>
      <c r="B503" s="300">
        <v>4217.04</v>
      </c>
      <c r="C503" s="179">
        <f t="shared" si="14"/>
        <v>-7.2133494048516322E-3</v>
      </c>
      <c r="D503" s="300"/>
      <c r="E503" s="300"/>
      <c r="F503" s="299">
        <v>45222</v>
      </c>
      <c r="G503" s="14">
        <v>42.97</v>
      </c>
      <c r="H503" s="212">
        <f t="shared" si="15"/>
        <v>-1.5803939532753053E-2</v>
      </c>
    </row>
    <row r="504" spans="1:8" x14ac:dyDescent="0.3">
      <c r="A504" s="299">
        <v>45219</v>
      </c>
      <c r="B504" s="300">
        <v>4224.16</v>
      </c>
      <c r="C504" s="179">
        <f t="shared" si="14"/>
        <v>1.6883880636655579E-3</v>
      </c>
      <c r="D504" s="300"/>
      <c r="E504" s="300"/>
      <c r="F504" s="299">
        <v>45219</v>
      </c>
      <c r="G504" s="14">
        <v>41.39</v>
      </c>
      <c r="H504" s="212">
        <f t="shared" si="15"/>
        <v>-3.6769839422853168E-2</v>
      </c>
    </row>
    <row r="505" spans="1:8" x14ac:dyDescent="0.3">
      <c r="A505" s="299">
        <v>45218</v>
      </c>
      <c r="B505" s="300">
        <v>4278</v>
      </c>
      <c r="C505" s="179">
        <f t="shared" si="14"/>
        <v>1.2745729328434541E-2</v>
      </c>
      <c r="D505" s="300"/>
      <c r="E505" s="300"/>
      <c r="F505" s="299">
        <v>45218</v>
      </c>
      <c r="G505" s="14">
        <v>42.1</v>
      </c>
      <c r="H505" s="212">
        <f t="shared" si="15"/>
        <v>1.7153901908673719E-2</v>
      </c>
    </row>
    <row r="506" spans="1:8" x14ac:dyDescent="0.3">
      <c r="A506" s="299">
        <v>45217</v>
      </c>
      <c r="B506" s="300">
        <v>4314.6000000000004</v>
      </c>
      <c r="C506" s="179">
        <f t="shared" si="14"/>
        <v>8.5553997194951492E-3</v>
      </c>
      <c r="D506" s="300"/>
      <c r="E506" s="300"/>
      <c r="F506" s="299">
        <v>45217</v>
      </c>
      <c r="G506" s="14">
        <v>42.2</v>
      </c>
      <c r="H506" s="212">
        <f t="shared" si="15"/>
        <v>2.3752969121140222E-3</v>
      </c>
    </row>
    <row r="507" spans="1:8" x14ac:dyDescent="0.3">
      <c r="A507" s="299">
        <v>45216</v>
      </c>
      <c r="B507" s="300">
        <v>4373.2</v>
      </c>
      <c r="C507" s="179">
        <f t="shared" si="14"/>
        <v>1.3581792054883302E-2</v>
      </c>
      <c r="D507" s="300"/>
      <c r="E507" s="300"/>
      <c r="F507" s="299">
        <v>45216</v>
      </c>
      <c r="G507" s="14">
        <v>43.94</v>
      </c>
      <c r="H507" s="212">
        <f t="shared" si="15"/>
        <v>4.1232227488151585E-2</v>
      </c>
    </row>
  </sheetData>
  <mergeCells count="3">
    <mergeCell ref="K6:L6"/>
    <mergeCell ref="F3:H3"/>
    <mergeCell ref="A3:C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75"/>
  <sheetViews>
    <sheetView showGridLines="0" zoomScale="76" workbookViewId="0">
      <selection activeCell="L21" sqref="L21"/>
    </sheetView>
  </sheetViews>
  <sheetFormatPr defaultRowHeight="14.4" x14ac:dyDescent="0.3"/>
  <cols>
    <col min="6" max="6" width="15.33203125" bestFit="1" customWidth="1"/>
    <col min="8" max="8" width="9.109375" bestFit="1" customWidth="1"/>
  </cols>
  <sheetData>
    <row r="1" spans="1:18" ht="21" customHeight="1" x14ac:dyDescent="0.3">
      <c r="A1" s="739" t="s">
        <v>427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</row>
    <row r="2" spans="1:18" ht="15.6" customHeight="1" x14ac:dyDescent="0.3">
      <c r="A2" s="13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5.6" customHeight="1" x14ac:dyDescent="0.3">
      <c r="A3" s="135"/>
      <c r="B3" s="462" t="s">
        <v>688</v>
      </c>
      <c r="C3" s="462"/>
      <c r="D3" s="462"/>
      <c r="E3" s="462"/>
      <c r="F3" s="462"/>
      <c r="G3" s="462"/>
      <c r="H3" s="462"/>
      <c r="I3" s="463"/>
      <c r="J3" s="4"/>
      <c r="K3" s="4"/>
      <c r="L3" s="4"/>
      <c r="M3" s="4"/>
      <c r="N3" s="4"/>
      <c r="O3" s="4"/>
      <c r="P3" s="4"/>
      <c r="Q3" s="4"/>
    </row>
    <row r="4" spans="1:18" ht="15.6" customHeight="1" x14ac:dyDescent="0.3">
      <c r="A4" s="135"/>
      <c r="B4" s="462" t="s">
        <v>689</v>
      </c>
      <c r="C4" s="462"/>
      <c r="D4" s="462"/>
      <c r="E4" s="462"/>
      <c r="F4" s="462"/>
      <c r="G4" s="462"/>
      <c r="H4" s="462"/>
      <c r="I4" s="463"/>
      <c r="J4" s="4"/>
      <c r="K4" s="4"/>
      <c r="L4" s="4"/>
      <c r="M4" s="4"/>
      <c r="N4" s="4"/>
      <c r="O4" s="4"/>
      <c r="P4" s="4"/>
      <c r="Q4" s="4"/>
    </row>
    <row r="5" spans="1:18" ht="15.6" customHeight="1" x14ac:dyDescent="0.3">
      <c r="A5" s="13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8" ht="17.399999999999999" customHeight="1" x14ac:dyDescent="0.35">
      <c r="A6" s="135"/>
      <c r="B6" s="45" t="s">
        <v>690</v>
      </c>
      <c r="C6" s="45"/>
      <c r="D6" s="45"/>
      <c r="E6" s="45"/>
      <c r="F6" s="45"/>
      <c r="G6" s="464"/>
      <c r="H6" s="4"/>
      <c r="I6" s="465"/>
      <c r="J6" s="466"/>
      <c r="K6" s="466"/>
      <c r="L6" s="466"/>
      <c r="M6" s="587" t="s">
        <v>691</v>
      </c>
      <c r="N6" s="587"/>
      <c r="O6" s="587"/>
      <c r="P6" s="587">
        <v>2025</v>
      </c>
      <c r="Q6" s="4"/>
    </row>
    <row r="7" spans="1:18" ht="17.399999999999999" customHeight="1" x14ac:dyDescent="0.35">
      <c r="A7" s="135"/>
      <c r="B7" s="574" t="s">
        <v>692</v>
      </c>
      <c r="C7" s="574"/>
      <c r="D7" s="574"/>
      <c r="E7" s="574"/>
      <c r="F7" s="575">
        <v>4452000</v>
      </c>
      <c r="G7" s="4"/>
      <c r="H7" s="4"/>
      <c r="I7" s="369"/>
      <c r="J7" s="322"/>
      <c r="K7" s="4"/>
      <c r="L7" s="4"/>
      <c r="M7" s="574"/>
      <c r="N7" s="574"/>
      <c r="O7" s="574"/>
      <c r="P7" s="574"/>
      <c r="Q7" s="4"/>
    </row>
    <row r="8" spans="1:18" ht="17.399999999999999" customHeight="1" x14ac:dyDescent="0.35">
      <c r="A8" s="135"/>
      <c r="B8" s="584" t="s">
        <v>693</v>
      </c>
      <c r="C8" s="584"/>
      <c r="D8" s="584"/>
      <c r="E8" s="584"/>
      <c r="F8" s="586">
        <f>F7/(F14+F7)</f>
        <v>0.99810266333338038</v>
      </c>
      <c r="G8" s="4"/>
      <c r="H8" s="4"/>
      <c r="I8" s="369"/>
      <c r="J8" s="4"/>
      <c r="K8" s="4"/>
      <c r="L8" s="4"/>
      <c r="M8" s="574" t="s">
        <v>694</v>
      </c>
      <c r="N8" s="574"/>
      <c r="O8" s="574"/>
      <c r="P8" s="588">
        <f>'13_DebtSchedule'!H13</f>
        <v>2.8285274047985913E-2</v>
      </c>
      <c r="Q8" s="4"/>
    </row>
    <row r="9" spans="1:18" ht="17.399999999999999" customHeight="1" x14ac:dyDescent="0.35">
      <c r="A9" s="135"/>
      <c r="B9" s="584" t="s">
        <v>695</v>
      </c>
      <c r="C9" s="584"/>
      <c r="D9" s="584"/>
      <c r="E9" s="584"/>
      <c r="F9" s="585">
        <f>F10+F11*F12</f>
        <v>0.12934130717282799</v>
      </c>
      <c r="G9" s="4"/>
      <c r="H9" s="4"/>
      <c r="I9" s="369"/>
      <c r="J9" s="4"/>
      <c r="K9" s="4"/>
      <c r="L9" s="4"/>
      <c r="M9" s="574" t="s">
        <v>696</v>
      </c>
      <c r="N9" s="574"/>
      <c r="O9" s="574"/>
      <c r="P9" s="588">
        <f>F17</f>
        <v>0.13264941803727417</v>
      </c>
      <c r="Q9" s="4"/>
    </row>
    <row r="10" spans="1:18" ht="17.399999999999999" customHeight="1" x14ac:dyDescent="0.35">
      <c r="A10" s="135"/>
      <c r="B10" s="574" t="s">
        <v>697</v>
      </c>
      <c r="C10" s="574"/>
      <c r="D10" s="574"/>
      <c r="E10" s="574"/>
      <c r="F10" s="577">
        <v>4.07E-2</v>
      </c>
      <c r="G10" s="4"/>
      <c r="H10" s="4"/>
      <c r="I10" s="369"/>
      <c r="J10" s="323"/>
      <c r="K10" s="4"/>
      <c r="L10" s="4"/>
      <c r="M10" s="589" t="s">
        <v>698</v>
      </c>
      <c r="N10" s="589"/>
      <c r="O10" s="589"/>
      <c r="P10" s="590">
        <f>P8*(1-P9)</f>
        <v>2.4533248906495768E-2</v>
      </c>
      <c r="Q10" s="4"/>
    </row>
    <row r="11" spans="1:18" ht="17.399999999999999" customHeight="1" x14ac:dyDescent="0.35">
      <c r="A11" s="135"/>
      <c r="B11" s="574" t="s">
        <v>663</v>
      </c>
      <c r="C11" s="574"/>
      <c r="D11" s="574"/>
      <c r="E11" s="574"/>
      <c r="F11" s="578">
        <f>'14_Beta'!L13</f>
        <v>1.7728261434565593</v>
      </c>
      <c r="G11" s="4"/>
      <c r="H11" s="4"/>
      <c r="I11" s="369"/>
      <c r="J11" s="4"/>
      <c r="K11" s="4"/>
      <c r="L11" s="4"/>
      <c r="M11" s="4"/>
      <c r="N11" s="4"/>
      <c r="O11" s="4"/>
      <c r="P11" s="4"/>
      <c r="Q11" s="4"/>
    </row>
    <row r="12" spans="1:18" ht="17.399999999999999" customHeight="1" x14ac:dyDescent="0.35">
      <c r="A12" s="135"/>
      <c r="B12" s="574" t="s">
        <v>699</v>
      </c>
      <c r="C12" s="574"/>
      <c r="D12" s="574"/>
      <c r="E12" s="574"/>
      <c r="F12" s="579">
        <v>0.05</v>
      </c>
      <c r="G12" s="4"/>
      <c r="H12" s="471"/>
      <c r="I12" s="369"/>
      <c r="J12" s="4"/>
      <c r="K12" s="4"/>
      <c r="L12" s="4"/>
      <c r="Q12" s="4"/>
    </row>
    <row r="13" spans="1:18" ht="17.399999999999999" customHeight="1" x14ac:dyDescent="0.35">
      <c r="A13" s="135"/>
      <c r="B13" s="574"/>
      <c r="C13" s="574"/>
      <c r="D13" s="574"/>
      <c r="E13" s="574"/>
      <c r="F13" s="580"/>
      <c r="G13" s="354"/>
      <c r="H13" s="4"/>
      <c r="I13" s="4"/>
      <c r="J13" s="4"/>
      <c r="K13" s="4"/>
      <c r="L13" s="4"/>
      <c r="Q13" s="4"/>
    </row>
    <row r="14" spans="1:18" ht="17.399999999999999" customHeight="1" x14ac:dyDescent="0.35">
      <c r="A14" s="135"/>
      <c r="B14" s="574" t="s">
        <v>700</v>
      </c>
      <c r="C14" s="574"/>
      <c r="D14" s="574"/>
      <c r="E14" s="574"/>
      <c r="F14" s="575">
        <f>'02_Historical_BS'!F20+'02_Historical_BS'!F26</f>
        <v>8463</v>
      </c>
      <c r="G14" s="4"/>
      <c r="H14" s="4"/>
      <c r="I14" s="4"/>
      <c r="J14" s="4"/>
      <c r="K14" s="4"/>
      <c r="L14" s="4"/>
      <c r="Q14" s="4"/>
    </row>
    <row r="15" spans="1:18" ht="17.399999999999999" customHeight="1" x14ac:dyDescent="0.35">
      <c r="A15" s="135"/>
      <c r="B15" s="584" t="s">
        <v>701</v>
      </c>
      <c r="C15" s="584"/>
      <c r="D15" s="584"/>
      <c r="E15" s="584"/>
      <c r="F15" s="586">
        <f>F14/(F7+F14)</f>
        <v>1.8973366666195863E-3</v>
      </c>
      <c r="G15" s="4"/>
      <c r="H15" s="4"/>
      <c r="I15" s="4"/>
      <c r="J15" s="4"/>
      <c r="K15" s="4"/>
      <c r="L15" s="4"/>
      <c r="Q15" s="4"/>
    </row>
    <row r="16" spans="1:18" ht="17.399999999999999" customHeight="1" x14ac:dyDescent="0.35">
      <c r="A16" s="135"/>
      <c r="B16" s="574" t="str">
        <f>M8</f>
        <v>Pre-Tax Cost of Debt</v>
      </c>
      <c r="C16" s="574"/>
      <c r="D16" s="574"/>
      <c r="E16" s="574"/>
      <c r="F16" s="576">
        <f>P8</f>
        <v>2.8285274047985913E-2</v>
      </c>
      <c r="G16" s="354"/>
      <c r="H16" s="4"/>
      <c r="I16" s="4"/>
      <c r="J16" s="4"/>
      <c r="K16" s="4"/>
      <c r="L16" s="4"/>
      <c r="Q16" s="4"/>
    </row>
    <row r="17" spans="1:17" ht="17.399999999999999" customHeight="1" x14ac:dyDescent="0.35">
      <c r="A17" s="135"/>
      <c r="B17" s="574" t="s">
        <v>702</v>
      </c>
      <c r="C17" s="574"/>
      <c r="D17" s="574"/>
      <c r="E17" s="574"/>
      <c r="F17" s="581">
        <f>'04a_Projection_IS'!F71</f>
        <v>0.13264941803727417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7.399999999999999" customHeight="1" x14ac:dyDescent="0.35">
      <c r="A18" s="135"/>
      <c r="B18" s="574"/>
      <c r="C18" s="574"/>
      <c r="D18" s="574"/>
      <c r="E18" s="574"/>
      <c r="F18" s="580"/>
      <c r="G18" s="4"/>
      <c r="H18" s="4"/>
      <c r="I18" s="4"/>
      <c r="J18" s="4"/>
      <c r="K18" s="368"/>
      <c r="L18" s="472"/>
      <c r="M18" s="472"/>
      <c r="N18" s="472"/>
      <c r="O18" s="472"/>
      <c r="P18" s="4"/>
      <c r="Q18" s="4"/>
    </row>
    <row r="19" spans="1:17" ht="17.399999999999999" customHeight="1" x14ac:dyDescent="0.35">
      <c r="A19" s="135"/>
      <c r="B19" s="582" t="s">
        <v>427</v>
      </c>
      <c r="C19" s="582"/>
      <c r="D19" s="582"/>
      <c r="E19" s="582"/>
      <c r="F19" s="583">
        <f>F8*F9+F15*F16*(1-F17)</f>
        <v>0.12914245100092209</v>
      </c>
      <c r="G19" s="4"/>
      <c r="H19" s="4"/>
      <c r="I19" s="4"/>
      <c r="J19" s="4"/>
      <c r="K19" s="369"/>
      <c r="L19" s="369"/>
      <c r="M19" s="469"/>
      <c r="N19" s="467"/>
      <c r="O19" s="473"/>
      <c r="P19" s="4"/>
      <c r="Q19" s="4"/>
    </row>
    <row r="20" spans="1:17" ht="15.6" customHeight="1" x14ac:dyDescent="0.3">
      <c r="A20" s="135"/>
      <c r="B20" s="4"/>
      <c r="C20" s="4"/>
      <c r="D20" s="4"/>
      <c r="E20" s="4"/>
      <c r="F20" s="4"/>
      <c r="G20" s="4"/>
      <c r="H20" s="4"/>
      <c r="I20" s="4"/>
      <c r="J20" s="4"/>
      <c r="K20" s="369"/>
      <c r="L20" s="369"/>
      <c r="M20" s="469"/>
      <c r="N20" s="467"/>
      <c r="O20" s="473"/>
      <c r="P20" s="4"/>
      <c r="Q20" s="4"/>
    </row>
    <row r="21" spans="1:17" ht="15.6" customHeight="1" x14ac:dyDescent="0.3">
      <c r="A21" s="135"/>
      <c r="B21" s="4"/>
      <c r="C21" s="4"/>
      <c r="D21" s="4"/>
      <c r="E21" s="4"/>
      <c r="F21" s="4"/>
      <c r="G21" s="4"/>
      <c r="H21" s="4"/>
      <c r="I21" s="4"/>
      <c r="J21" s="4"/>
      <c r="K21" s="369"/>
      <c r="L21" s="369"/>
      <c r="M21" s="469"/>
      <c r="N21" s="467"/>
      <c r="O21" s="473"/>
      <c r="P21" s="4"/>
      <c r="Q21" s="4"/>
    </row>
    <row r="22" spans="1:17" ht="15.6" customHeight="1" x14ac:dyDescent="0.3">
      <c r="A22" s="135"/>
      <c r="B22" s="474"/>
      <c r="C22" s="474"/>
      <c r="D22" s="472"/>
      <c r="E22" s="570"/>
      <c r="F22" s="570"/>
      <c r="G22" s="570"/>
      <c r="H22" s="570"/>
      <c r="I22" s="571"/>
      <c r="J22" s="4"/>
      <c r="K22" s="369"/>
      <c r="L22" s="369"/>
      <c r="M22" s="469"/>
      <c r="N22" s="467"/>
      <c r="O22" s="473"/>
      <c r="P22" s="4"/>
      <c r="Q22" s="4"/>
    </row>
    <row r="23" spans="1:17" ht="15.6" customHeight="1" x14ac:dyDescent="0.3">
      <c r="A23" s="135"/>
      <c r="B23" s="474"/>
      <c r="C23" s="474"/>
      <c r="D23" s="469"/>
      <c r="E23" s="180"/>
      <c r="F23" s="180"/>
      <c r="G23" s="352"/>
      <c r="H23" s="180"/>
      <c r="I23" s="180"/>
      <c r="J23" s="4"/>
      <c r="K23" s="369"/>
      <c r="L23" s="369"/>
      <c r="M23" s="469"/>
      <c r="N23" s="467"/>
      <c r="O23" s="473"/>
      <c r="P23" s="4"/>
      <c r="Q23" s="4"/>
    </row>
    <row r="24" spans="1:17" ht="15.6" customHeight="1" x14ac:dyDescent="0.3">
      <c r="A24" s="135"/>
      <c r="B24" s="474"/>
      <c r="C24" s="474"/>
      <c r="D24" s="469"/>
      <c r="E24" s="180"/>
      <c r="F24" s="180"/>
      <c r="G24" s="352"/>
      <c r="H24" s="180"/>
      <c r="I24" s="572"/>
      <c r="J24" s="4"/>
      <c r="K24" s="369"/>
      <c r="L24" s="369"/>
      <c r="M24" s="469"/>
      <c r="N24" s="467"/>
      <c r="O24" s="473"/>
      <c r="P24" s="4"/>
      <c r="Q24" s="4"/>
    </row>
    <row r="25" spans="1:17" ht="15.6" customHeight="1" x14ac:dyDescent="0.3">
      <c r="A25" s="135"/>
      <c r="B25" s="474"/>
      <c r="C25" s="474"/>
      <c r="D25" s="469"/>
      <c r="E25" s="180"/>
      <c r="F25" s="180"/>
      <c r="G25" s="352"/>
      <c r="H25" s="180"/>
      <c r="I25" s="573"/>
      <c r="J25" s="4"/>
      <c r="K25" s="369"/>
      <c r="L25" s="369"/>
      <c r="M25" s="469"/>
      <c r="N25" s="467"/>
      <c r="O25" s="473"/>
      <c r="P25" s="4"/>
      <c r="Q25" s="4"/>
    </row>
    <row r="26" spans="1:17" ht="15.6" customHeight="1" x14ac:dyDescent="0.3">
      <c r="A26" s="135"/>
      <c r="B26" s="4"/>
      <c r="C26" s="4"/>
      <c r="D26" s="4"/>
      <c r="E26" s="471"/>
      <c r="F26" s="4"/>
      <c r="G26" s="4"/>
      <c r="H26" s="4"/>
      <c r="I26" s="4"/>
      <c r="J26" s="4"/>
      <c r="K26" s="369"/>
      <c r="L26" s="369"/>
      <c r="M26" s="469"/>
      <c r="N26" s="467"/>
      <c r="O26" s="473"/>
      <c r="P26" s="4"/>
      <c r="Q26" s="4"/>
    </row>
    <row r="27" spans="1:17" ht="15.6" customHeight="1" x14ac:dyDescent="0.3">
      <c r="A27" s="135"/>
      <c r="B27" s="4"/>
      <c r="C27" s="4"/>
      <c r="D27" s="4"/>
      <c r="E27" s="471"/>
      <c r="F27" s="4"/>
      <c r="G27" s="4"/>
      <c r="H27" s="4"/>
      <c r="I27" s="4"/>
      <c r="J27" s="4"/>
      <c r="K27" s="369"/>
      <c r="L27" s="369"/>
      <c r="M27" s="369"/>
      <c r="N27" s="369"/>
      <c r="O27" s="369"/>
      <c r="P27" s="4"/>
      <c r="Q27" s="4"/>
    </row>
    <row r="28" spans="1:17" ht="15.6" customHeight="1" x14ac:dyDescent="0.3">
      <c r="A28" s="135"/>
      <c r="B28" s="4"/>
      <c r="C28" s="4"/>
      <c r="D28" s="4"/>
      <c r="E28" s="471"/>
      <c r="F28" s="468"/>
      <c r="G28" s="4"/>
      <c r="H28" s="4"/>
      <c r="I28" s="4"/>
      <c r="J28" s="4"/>
      <c r="K28" s="369"/>
      <c r="L28" s="369"/>
      <c r="M28" s="369"/>
      <c r="N28" s="467"/>
      <c r="O28" s="473"/>
      <c r="P28" s="468"/>
      <c r="Q28" s="4"/>
    </row>
    <row r="29" spans="1:17" ht="15.6" customHeight="1" x14ac:dyDescent="0.3">
      <c r="A29" s="135"/>
      <c r="B29" s="4"/>
      <c r="C29" s="4"/>
      <c r="D29" s="4"/>
      <c r="E29" s="4"/>
      <c r="F29" s="47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.6" customHeight="1" x14ac:dyDescent="0.3">
      <c r="A30" s="135"/>
      <c r="B30" s="4"/>
      <c r="C30" s="4"/>
      <c r="D30" s="4"/>
      <c r="E30" s="4"/>
      <c r="F30" s="47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.6" customHeight="1" x14ac:dyDescent="0.3">
      <c r="A31" s="13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.6" customHeight="1" x14ac:dyDescent="0.3">
      <c r="A32" s="13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.6" customHeight="1" x14ac:dyDescent="0.3">
      <c r="A33" s="13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.6" customHeight="1" x14ac:dyDescent="0.3">
      <c r="A34" s="13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.6" customHeight="1" x14ac:dyDescent="0.3">
      <c r="A35" s="13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.6" customHeight="1" x14ac:dyDescent="0.3">
      <c r="A36" s="13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.6" customHeight="1" x14ac:dyDescent="0.3">
      <c r="A37" s="13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.6" customHeight="1" x14ac:dyDescent="0.3">
      <c r="A38" s="13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.6" customHeight="1" x14ac:dyDescent="0.3">
      <c r="A39" s="13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.6" customHeight="1" x14ac:dyDescent="0.3">
      <c r="A40" s="13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.6" customHeight="1" x14ac:dyDescent="0.3">
      <c r="A41" s="13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.6" customHeight="1" x14ac:dyDescent="0.3">
      <c r="A42" s="13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.6" customHeight="1" x14ac:dyDescent="0.3">
      <c r="A43" s="13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6" customHeight="1" x14ac:dyDescent="0.3">
      <c r="A44" s="13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6" customHeight="1" x14ac:dyDescent="0.3">
      <c r="A45" s="13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.6" customHeight="1" x14ac:dyDescent="0.3">
      <c r="A46" s="13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.6" customHeight="1" x14ac:dyDescent="0.3">
      <c r="A47" s="13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.6" customHeight="1" x14ac:dyDescent="0.3">
      <c r="A48" s="13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.6" customHeight="1" x14ac:dyDescent="0.3">
      <c r="A49" s="13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.6" customHeight="1" x14ac:dyDescent="0.3">
      <c r="A50" s="13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.6" customHeight="1" x14ac:dyDescent="0.3">
      <c r="A51" s="13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.6" customHeight="1" x14ac:dyDescent="0.3">
      <c r="A52" s="13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.6" customHeight="1" x14ac:dyDescent="0.3">
      <c r="A53" s="13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.6" customHeight="1" x14ac:dyDescent="0.3">
      <c r="A54" s="13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.6" customHeight="1" x14ac:dyDescent="0.3">
      <c r="A55" s="13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.6" customHeight="1" x14ac:dyDescent="0.3">
      <c r="A56" s="13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.6" customHeight="1" x14ac:dyDescent="0.3">
      <c r="A57" s="13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.6" customHeight="1" x14ac:dyDescent="0.3">
      <c r="A58" s="13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.6" customHeight="1" x14ac:dyDescent="0.3">
      <c r="A59" s="13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.6" customHeight="1" x14ac:dyDescent="0.3">
      <c r="A60" s="13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.6" customHeight="1" x14ac:dyDescent="0.3">
      <c r="A61" s="13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.6" customHeight="1" x14ac:dyDescent="0.3">
      <c r="A62" s="13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.6" customHeight="1" x14ac:dyDescent="0.3">
      <c r="A63" s="13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.6" customHeight="1" x14ac:dyDescent="0.3">
      <c r="A64" s="13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.6" customHeight="1" x14ac:dyDescent="0.3">
      <c r="A65" s="13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.6" customHeight="1" x14ac:dyDescent="0.3">
      <c r="A66" s="13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.6" customHeight="1" x14ac:dyDescent="0.3">
      <c r="A67" s="13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5.6" customHeight="1" x14ac:dyDescent="0.3">
      <c r="A68" s="13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5.6" customHeight="1" x14ac:dyDescent="0.3">
      <c r="A69" s="13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5.6" customHeight="1" x14ac:dyDescent="0.3">
      <c r="A70" s="13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5.6" customHeight="1" x14ac:dyDescent="0.3">
      <c r="A71" s="13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5.6" customHeight="1" x14ac:dyDescent="0.3">
      <c r="A72" s="13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5.6" customHeight="1" x14ac:dyDescent="0.3">
      <c r="A73" s="13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5.6" customHeight="1" x14ac:dyDescent="0.3">
      <c r="A74" s="13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5.6" customHeight="1" x14ac:dyDescent="0.3">
      <c r="A75" s="13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</sheetData>
  <mergeCells count="1">
    <mergeCell ref="A1:R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268"/>
  <sheetViews>
    <sheetView showGridLines="0" zoomScale="81" workbookViewId="0">
      <selection activeCell="L19" sqref="L19"/>
    </sheetView>
  </sheetViews>
  <sheetFormatPr defaultRowHeight="14.4" x14ac:dyDescent="0.3"/>
  <cols>
    <col min="1" max="1" width="17.21875" bestFit="1" customWidth="1"/>
    <col min="2" max="2" width="12.5546875" bestFit="1" customWidth="1"/>
    <col min="3" max="3" width="10.109375" customWidth="1"/>
    <col min="4" max="4" width="10.5546875" customWidth="1"/>
    <col min="5" max="5" width="10" customWidth="1"/>
    <col min="6" max="6" width="14" customWidth="1"/>
  </cols>
  <sheetData>
    <row r="2" spans="1:6" ht="18" customHeight="1" x14ac:dyDescent="0.3">
      <c r="A2" s="744" t="s">
        <v>703</v>
      </c>
      <c r="B2" s="725"/>
      <c r="C2" s="725"/>
    </row>
    <row r="3" spans="1:6" x14ac:dyDescent="0.3">
      <c r="A3" s="1" t="s">
        <v>704</v>
      </c>
      <c r="B3" s="279">
        <f>MAX(B9:B268)</f>
        <v>192.57</v>
      </c>
    </row>
    <row r="4" spans="1:6" x14ac:dyDescent="0.3">
      <c r="A4" s="280" t="s">
        <v>705</v>
      </c>
      <c r="B4" s="281">
        <f>MIN(B9:B268)</f>
        <v>94.31</v>
      </c>
      <c r="C4" s="282"/>
    </row>
    <row r="7" spans="1:6" x14ac:dyDescent="0.3">
      <c r="B7" s="283"/>
    </row>
    <row r="8" spans="1:6" ht="18" customHeight="1" x14ac:dyDescent="0.35">
      <c r="A8" s="284" t="s">
        <v>654</v>
      </c>
      <c r="B8" s="285" t="s">
        <v>706</v>
      </c>
      <c r="C8" s="284" t="s">
        <v>707</v>
      </c>
      <c r="D8" s="284" t="s">
        <v>478</v>
      </c>
      <c r="E8" s="284" t="s">
        <v>476</v>
      </c>
      <c r="F8" s="284" t="s">
        <v>708</v>
      </c>
    </row>
    <row r="9" spans="1:6" x14ac:dyDescent="0.3">
      <c r="A9" s="286">
        <v>45947</v>
      </c>
      <c r="B9" s="283">
        <v>183.22</v>
      </c>
      <c r="C9" s="283">
        <v>180.18</v>
      </c>
      <c r="D9" s="283">
        <v>184.1</v>
      </c>
      <c r="E9" s="283">
        <v>179.75</v>
      </c>
      <c r="F9" s="33">
        <v>173135200</v>
      </c>
    </row>
    <row r="10" spans="1:6" x14ac:dyDescent="0.3">
      <c r="A10" s="286">
        <v>45946</v>
      </c>
      <c r="B10" s="283">
        <v>181.81</v>
      </c>
      <c r="C10" s="283">
        <v>182.23</v>
      </c>
      <c r="D10" s="283">
        <v>183.28</v>
      </c>
      <c r="E10" s="283">
        <v>179.77</v>
      </c>
      <c r="F10" s="33">
        <v>179723300</v>
      </c>
    </row>
    <row r="11" spans="1:6" x14ac:dyDescent="0.3">
      <c r="A11" s="286">
        <v>45945</v>
      </c>
      <c r="B11" s="283">
        <v>179.83</v>
      </c>
      <c r="C11" s="283">
        <v>184.8</v>
      </c>
      <c r="D11" s="283">
        <v>184.87</v>
      </c>
      <c r="E11" s="283">
        <v>177.29</v>
      </c>
      <c r="F11" s="33">
        <v>214450500</v>
      </c>
    </row>
    <row r="12" spans="1:6" x14ac:dyDescent="0.3">
      <c r="A12" s="286">
        <v>45944</v>
      </c>
      <c r="B12" s="283">
        <v>180.03</v>
      </c>
      <c r="C12" s="283">
        <v>184.77</v>
      </c>
      <c r="D12" s="283">
        <v>184.8</v>
      </c>
      <c r="E12" s="283">
        <v>179.7</v>
      </c>
      <c r="F12" s="33">
        <v>205641400</v>
      </c>
    </row>
    <row r="13" spans="1:6" x14ac:dyDescent="0.3">
      <c r="A13" s="286">
        <v>45943</v>
      </c>
      <c r="B13" s="283">
        <v>188.32</v>
      </c>
      <c r="C13" s="283">
        <v>187.965</v>
      </c>
      <c r="D13" s="283">
        <v>190.10990000000001</v>
      </c>
      <c r="E13" s="283">
        <v>185.96</v>
      </c>
      <c r="F13" s="33">
        <v>153482800</v>
      </c>
    </row>
    <row r="14" spans="1:6" x14ac:dyDescent="0.3">
      <c r="A14" s="286">
        <v>45940</v>
      </c>
      <c r="B14" s="283">
        <v>183.16</v>
      </c>
      <c r="C14" s="283">
        <v>193.505</v>
      </c>
      <c r="D14" s="283">
        <v>195.62</v>
      </c>
      <c r="E14" s="283">
        <v>182.05</v>
      </c>
      <c r="F14" s="33">
        <v>268774400</v>
      </c>
    </row>
    <row r="15" spans="1:6" x14ac:dyDescent="0.3">
      <c r="A15" s="286">
        <v>45939</v>
      </c>
      <c r="B15" s="283">
        <v>192.57</v>
      </c>
      <c r="C15" s="283">
        <v>192.22499999999999</v>
      </c>
      <c r="D15" s="283">
        <v>195.3</v>
      </c>
      <c r="E15" s="283">
        <v>191.06</v>
      </c>
      <c r="F15" s="33">
        <v>182997200</v>
      </c>
    </row>
    <row r="16" spans="1:6" x14ac:dyDescent="0.3">
      <c r="A16" s="286">
        <v>45938</v>
      </c>
      <c r="B16" s="283">
        <v>189.11</v>
      </c>
      <c r="C16" s="283">
        <v>186.57</v>
      </c>
      <c r="D16" s="283">
        <v>189.6</v>
      </c>
      <c r="E16" s="283">
        <v>186.54</v>
      </c>
      <c r="F16" s="33">
        <v>130168900</v>
      </c>
    </row>
    <row r="17" spans="1:6" x14ac:dyDescent="0.3">
      <c r="A17" s="286">
        <v>45937</v>
      </c>
      <c r="B17" s="283">
        <v>185.04</v>
      </c>
      <c r="C17" s="283">
        <v>186.23</v>
      </c>
      <c r="D17" s="283">
        <v>189.06</v>
      </c>
      <c r="E17" s="283">
        <v>184</v>
      </c>
      <c r="F17" s="33">
        <v>140088000</v>
      </c>
    </row>
    <row r="18" spans="1:6" x14ac:dyDescent="0.3">
      <c r="A18" s="286">
        <v>45936</v>
      </c>
      <c r="B18" s="283">
        <v>185.54</v>
      </c>
      <c r="C18" s="283">
        <v>185.5</v>
      </c>
      <c r="D18" s="283">
        <v>187.23</v>
      </c>
      <c r="E18" s="283">
        <v>183.33</v>
      </c>
      <c r="F18" s="33">
        <v>157678100</v>
      </c>
    </row>
    <row r="19" spans="1:6" x14ac:dyDescent="0.3">
      <c r="A19" s="286">
        <v>45933</v>
      </c>
      <c r="B19" s="283">
        <v>187.62</v>
      </c>
      <c r="C19" s="283">
        <v>189.19</v>
      </c>
      <c r="D19" s="283">
        <v>190.36</v>
      </c>
      <c r="E19" s="283">
        <v>185.38</v>
      </c>
      <c r="F19" s="33">
        <v>137596900</v>
      </c>
    </row>
    <row r="20" spans="1:6" x14ac:dyDescent="0.3">
      <c r="A20" s="286">
        <v>45932</v>
      </c>
      <c r="B20" s="283">
        <v>188.89</v>
      </c>
      <c r="C20" s="283">
        <v>189.6</v>
      </c>
      <c r="D20" s="283">
        <v>191.05</v>
      </c>
      <c r="E20" s="283">
        <v>188.06</v>
      </c>
      <c r="F20" s="33">
        <v>136805800</v>
      </c>
    </row>
    <row r="21" spans="1:6" x14ac:dyDescent="0.3">
      <c r="A21" s="286">
        <v>45931</v>
      </c>
      <c r="B21" s="283">
        <v>187.24</v>
      </c>
      <c r="C21" s="283">
        <v>185.24</v>
      </c>
      <c r="D21" s="283">
        <v>188.14</v>
      </c>
      <c r="E21" s="283">
        <v>183.9</v>
      </c>
      <c r="F21" s="33">
        <v>173844900</v>
      </c>
    </row>
    <row r="22" spans="1:6" x14ac:dyDescent="0.3">
      <c r="A22" s="286">
        <v>45930</v>
      </c>
      <c r="B22" s="283">
        <v>186.58</v>
      </c>
      <c r="C22" s="283">
        <v>182.08</v>
      </c>
      <c r="D22" s="283">
        <v>187.35</v>
      </c>
      <c r="E22" s="283">
        <v>181.48</v>
      </c>
      <c r="F22" s="33">
        <v>236981000</v>
      </c>
    </row>
    <row r="23" spans="1:6" x14ac:dyDescent="0.3">
      <c r="A23" s="286">
        <v>45929</v>
      </c>
      <c r="B23" s="283">
        <v>181.85</v>
      </c>
      <c r="C23" s="283">
        <v>180.42500000000001</v>
      </c>
      <c r="D23" s="283">
        <v>184</v>
      </c>
      <c r="E23" s="283">
        <v>180.32</v>
      </c>
      <c r="F23" s="33">
        <v>193063500</v>
      </c>
    </row>
    <row r="24" spans="1:6" x14ac:dyDescent="0.3">
      <c r="A24" s="286">
        <v>45926</v>
      </c>
      <c r="B24" s="283">
        <v>178.19</v>
      </c>
      <c r="C24" s="283">
        <v>178.17</v>
      </c>
      <c r="D24" s="283">
        <v>179.77</v>
      </c>
      <c r="E24" s="283">
        <v>174.93</v>
      </c>
      <c r="F24" s="33">
        <v>148573700</v>
      </c>
    </row>
    <row r="25" spans="1:6" x14ac:dyDescent="0.3">
      <c r="A25" s="286">
        <v>45925</v>
      </c>
      <c r="B25" s="283">
        <v>177.69</v>
      </c>
      <c r="C25" s="283">
        <v>174.48</v>
      </c>
      <c r="D25" s="283">
        <v>180.26</v>
      </c>
      <c r="E25" s="283">
        <v>173.125</v>
      </c>
      <c r="F25" s="33">
        <v>191586700</v>
      </c>
    </row>
    <row r="26" spans="1:6" x14ac:dyDescent="0.3">
      <c r="A26" s="286">
        <v>45924</v>
      </c>
      <c r="B26" s="283">
        <v>176.97</v>
      </c>
      <c r="C26" s="283">
        <v>179.77</v>
      </c>
      <c r="D26" s="283">
        <v>179.78</v>
      </c>
      <c r="E26" s="283">
        <v>175.4</v>
      </c>
      <c r="F26" s="33">
        <v>143564100</v>
      </c>
    </row>
    <row r="27" spans="1:6" x14ac:dyDescent="0.3">
      <c r="A27" s="286">
        <v>45923</v>
      </c>
      <c r="B27" s="283">
        <v>178.43</v>
      </c>
      <c r="C27" s="283">
        <v>181.97</v>
      </c>
      <c r="D27" s="283">
        <v>182.42</v>
      </c>
      <c r="E27" s="283">
        <v>176.21</v>
      </c>
      <c r="F27" s="33">
        <v>192559600</v>
      </c>
    </row>
    <row r="28" spans="1:6" x14ac:dyDescent="0.3">
      <c r="A28" s="286">
        <v>45922</v>
      </c>
      <c r="B28" s="283">
        <v>183.61</v>
      </c>
      <c r="C28" s="283">
        <v>175.3</v>
      </c>
      <c r="D28" s="283">
        <v>184.55</v>
      </c>
      <c r="E28" s="283">
        <v>174.70529999999999</v>
      </c>
      <c r="F28" s="33">
        <v>269637000</v>
      </c>
    </row>
    <row r="29" spans="1:6" x14ac:dyDescent="0.3">
      <c r="A29" s="286">
        <v>45919</v>
      </c>
      <c r="B29" s="283">
        <v>176.67</v>
      </c>
      <c r="C29" s="283">
        <v>175.77</v>
      </c>
      <c r="D29" s="283">
        <v>178.08</v>
      </c>
      <c r="E29" s="283">
        <v>175.18</v>
      </c>
      <c r="F29" s="33">
        <v>237182100</v>
      </c>
    </row>
    <row r="30" spans="1:6" x14ac:dyDescent="0.3">
      <c r="A30" s="286">
        <v>45918</v>
      </c>
      <c r="B30" s="283">
        <v>176.24</v>
      </c>
      <c r="C30" s="283">
        <v>173.98</v>
      </c>
      <c r="D30" s="283">
        <v>177.1</v>
      </c>
      <c r="E30" s="283">
        <v>172.96</v>
      </c>
      <c r="F30" s="33">
        <v>191763300</v>
      </c>
    </row>
    <row r="31" spans="1:6" x14ac:dyDescent="0.3">
      <c r="A31" s="286">
        <v>45917</v>
      </c>
      <c r="B31" s="283">
        <v>170.29</v>
      </c>
      <c r="C31" s="283">
        <v>172.64</v>
      </c>
      <c r="D31" s="283">
        <v>173.2</v>
      </c>
      <c r="E31" s="283">
        <v>168.41</v>
      </c>
      <c r="F31" s="33">
        <v>211843800</v>
      </c>
    </row>
    <row r="32" spans="1:6" x14ac:dyDescent="0.3">
      <c r="A32" s="286">
        <v>45916</v>
      </c>
      <c r="B32" s="283">
        <v>174.88</v>
      </c>
      <c r="C32" s="283">
        <v>177</v>
      </c>
      <c r="D32" s="283">
        <v>177.5</v>
      </c>
      <c r="E32" s="283">
        <v>174.38</v>
      </c>
      <c r="F32" s="33">
        <v>140737800</v>
      </c>
    </row>
    <row r="33" spans="1:6" x14ac:dyDescent="0.3">
      <c r="A33" s="286">
        <v>45915</v>
      </c>
      <c r="B33" s="283">
        <v>177.75</v>
      </c>
      <c r="C33" s="283">
        <v>175.67</v>
      </c>
      <c r="D33" s="283">
        <v>178.85</v>
      </c>
      <c r="E33" s="283">
        <v>174.51</v>
      </c>
      <c r="F33" s="33">
        <v>147061600</v>
      </c>
    </row>
    <row r="34" spans="1:6" x14ac:dyDescent="0.3">
      <c r="A34" s="286">
        <v>45912</v>
      </c>
      <c r="B34" s="283">
        <v>177.82</v>
      </c>
      <c r="C34" s="283">
        <v>177.77</v>
      </c>
      <c r="D34" s="283">
        <v>178.595</v>
      </c>
      <c r="E34" s="283">
        <v>176.45</v>
      </c>
      <c r="F34" s="33">
        <v>124911000</v>
      </c>
    </row>
    <row r="35" spans="1:6" x14ac:dyDescent="0.3">
      <c r="A35" s="286">
        <v>45911</v>
      </c>
      <c r="B35" s="283">
        <v>177.17</v>
      </c>
      <c r="C35" s="283">
        <v>179.68</v>
      </c>
      <c r="D35" s="283">
        <v>180.28</v>
      </c>
      <c r="E35" s="283">
        <v>176.48</v>
      </c>
      <c r="F35" s="33">
        <v>151159300</v>
      </c>
    </row>
    <row r="36" spans="1:6" x14ac:dyDescent="0.3">
      <c r="A36" s="286">
        <v>45910</v>
      </c>
      <c r="B36" s="283">
        <v>177.33</v>
      </c>
      <c r="C36" s="283">
        <v>176.64</v>
      </c>
      <c r="D36" s="283">
        <v>179.29</v>
      </c>
      <c r="E36" s="283">
        <v>175.47</v>
      </c>
      <c r="F36" s="33">
        <v>226852000</v>
      </c>
    </row>
    <row r="37" spans="1:6" x14ac:dyDescent="0.3">
      <c r="A37" s="286">
        <v>45909</v>
      </c>
      <c r="B37" s="283">
        <v>170.76</v>
      </c>
      <c r="C37" s="283">
        <v>169.09</v>
      </c>
      <c r="D37" s="283">
        <v>170.98</v>
      </c>
      <c r="E37" s="283">
        <v>166.74010000000001</v>
      </c>
      <c r="F37" s="33">
        <v>157548400</v>
      </c>
    </row>
    <row r="38" spans="1:6" x14ac:dyDescent="0.3">
      <c r="A38" s="286">
        <v>45908</v>
      </c>
      <c r="B38" s="283">
        <v>168.31</v>
      </c>
      <c r="C38" s="283">
        <v>167.55</v>
      </c>
      <c r="D38" s="283">
        <v>170.96</v>
      </c>
      <c r="E38" s="283">
        <v>167.35</v>
      </c>
      <c r="F38" s="33">
        <v>163769100</v>
      </c>
    </row>
    <row r="39" spans="1:6" x14ac:dyDescent="0.3">
      <c r="A39" s="286">
        <v>45905</v>
      </c>
      <c r="B39" s="283">
        <v>167.02</v>
      </c>
      <c r="C39" s="283">
        <v>168.03</v>
      </c>
      <c r="D39" s="283">
        <v>169.03</v>
      </c>
      <c r="E39" s="283">
        <v>164.07</v>
      </c>
      <c r="F39" s="33">
        <v>224441400</v>
      </c>
    </row>
    <row r="40" spans="1:6" x14ac:dyDescent="0.3">
      <c r="A40" s="286">
        <v>45904</v>
      </c>
      <c r="B40" s="283">
        <v>171.66</v>
      </c>
      <c r="C40" s="283">
        <v>170.57</v>
      </c>
      <c r="D40" s="283">
        <v>171.86</v>
      </c>
      <c r="E40" s="283">
        <v>169.41</v>
      </c>
      <c r="F40" s="33">
        <v>141670100</v>
      </c>
    </row>
    <row r="41" spans="1:6" x14ac:dyDescent="0.3">
      <c r="A41" s="286">
        <v>45903</v>
      </c>
      <c r="B41" s="283">
        <v>170.62</v>
      </c>
      <c r="C41" s="283">
        <v>171.06</v>
      </c>
      <c r="D41" s="283">
        <v>172.41</v>
      </c>
      <c r="E41" s="283">
        <v>168.875</v>
      </c>
      <c r="F41" s="33">
        <v>164424900</v>
      </c>
    </row>
    <row r="42" spans="1:6" x14ac:dyDescent="0.3">
      <c r="A42" s="286">
        <v>45902</v>
      </c>
      <c r="B42" s="283">
        <v>170.78</v>
      </c>
      <c r="C42" s="283">
        <v>170</v>
      </c>
      <c r="D42" s="283">
        <v>172.37899999999999</v>
      </c>
      <c r="E42" s="283">
        <v>167.22</v>
      </c>
      <c r="F42" s="33">
        <v>231164900</v>
      </c>
    </row>
    <row r="43" spans="1:6" x14ac:dyDescent="0.3">
      <c r="A43" s="286">
        <v>45898</v>
      </c>
      <c r="B43" s="283">
        <v>174.18</v>
      </c>
      <c r="C43" s="283">
        <v>178.11</v>
      </c>
      <c r="D43" s="283">
        <v>178.15</v>
      </c>
      <c r="E43" s="283">
        <v>173.14500000000001</v>
      </c>
      <c r="F43" s="33">
        <v>243257900</v>
      </c>
    </row>
    <row r="44" spans="1:6" x14ac:dyDescent="0.3">
      <c r="A44" s="286">
        <v>45897</v>
      </c>
      <c r="B44" s="283">
        <v>180.17</v>
      </c>
      <c r="C44" s="283">
        <v>180.82</v>
      </c>
      <c r="D44" s="283">
        <v>184.47</v>
      </c>
      <c r="E44" s="283">
        <v>176.41</v>
      </c>
      <c r="F44" s="33">
        <v>281787800</v>
      </c>
    </row>
    <row r="45" spans="1:6" x14ac:dyDescent="0.3">
      <c r="A45" s="286">
        <v>45896</v>
      </c>
      <c r="B45" s="283">
        <v>181.6</v>
      </c>
      <c r="C45" s="283">
        <v>181.98</v>
      </c>
      <c r="D45" s="283">
        <v>182.49</v>
      </c>
      <c r="E45" s="283">
        <v>179.1</v>
      </c>
      <c r="F45" s="33">
        <v>235518900</v>
      </c>
    </row>
    <row r="46" spans="1:6" x14ac:dyDescent="0.3">
      <c r="A46" s="286">
        <v>45895</v>
      </c>
      <c r="B46" s="283">
        <v>181.77</v>
      </c>
      <c r="C46" s="283">
        <v>180.05500000000001</v>
      </c>
      <c r="D46" s="283">
        <v>182.39</v>
      </c>
      <c r="E46" s="283">
        <v>178.81</v>
      </c>
      <c r="F46" s="33">
        <v>168688200</v>
      </c>
    </row>
    <row r="47" spans="1:6" x14ac:dyDescent="0.3">
      <c r="A47" s="286">
        <v>45894</v>
      </c>
      <c r="B47" s="283">
        <v>179.81</v>
      </c>
      <c r="C47" s="283">
        <v>178.35</v>
      </c>
      <c r="D47" s="283">
        <v>181.91</v>
      </c>
      <c r="E47" s="283">
        <v>176.57</v>
      </c>
      <c r="F47" s="33">
        <v>163012800</v>
      </c>
    </row>
    <row r="48" spans="1:6" x14ac:dyDescent="0.3">
      <c r="A48" s="286">
        <v>45891</v>
      </c>
      <c r="B48" s="283">
        <v>177.99</v>
      </c>
      <c r="C48" s="283">
        <v>172.61</v>
      </c>
      <c r="D48" s="283">
        <v>178.59</v>
      </c>
      <c r="E48" s="283">
        <v>171.2</v>
      </c>
      <c r="F48" s="33">
        <v>172789400</v>
      </c>
    </row>
    <row r="49" spans="1:6" x14ac:dyDescent="0.3">
      <c r="A49" s="286">
        <v>45890</v>
      </c>
      <c r="B49" s="283">
        <v>174.98</v>
      </c>
      <c r="C49" s="283">
        <v>174.85</v>
      </c>
      <c r="D49" s="283">
        <v>176.9</v>
      </c>
      <c r="E49" s="283">
        <v>173.81</v>
      </c>
      <c r="F49" s="33">
        <v>140040900</v>
      </c>
    </row>
    <row r="50" spans="1:6" x14ac:dyDescent="0.3">
      <c r="A50" s="286">
        <v>45889</v>
      </c>
      <c r="B50" s="283">
        <v>175.4</v>
      </c>
      <c r="C50" s="283">
        <v>175.16499999999999</v>
      </c>
      <c r="D50" s="283">
        <v>176</v>
      </c>
      <c r="E50" s="283">
        <v>168.80099999999999</v>
      </c>
      <c r="F50" s="33">
        <v>215142700</v>
      </c>
    </row>
    <row r="51" spans="1:6" x14ac:dyDescent="0.3">
      <c r="A51" s="286">
        <v>45888</v>
      </c>
      <c r="B51" s="283">
        <v>175.64</v>
      </c>
      <c r="C51" s="283">
        <v>182.43</v>
      </c>
      <c r="D51" s="283">
        <v>182.5</v>
      </c>
      <c r="E51" s="283">
        <v>175.49</v>
      </c>
      <c r="F51" s="33">
        <v>185229200</v>
      </c>
    </row>
    <row r="52" spans="1:6" x14ac:dyDescent="0.3">
      <c r="A52" s="286">
        <v>45887</v>
      </c>
      <c r="B52" s="283">
        <v>182.01</v>
      </c>
      <c r="C52" s="283">
        <v>180.6</v>
      </c>
      <c r="D52" s="283">
        <v>182.9375</v>
      </c>
      <c r="E52" s="283">
        <v>180.59</v>
      </c>
      <c r="F52" s="33">
        <v>132008000</v>
      </c>
    </row>
    <row r="53" spans="1:6" x14ac:dyDescent="0.3">
      <c r="A53" s="286">
        <v>45884</v>
      </c>
      <c r="B53" s="283">
        <v>180.45</v>
      </c>
      <c r="C53" s="283">
        <v>181.88</v>
      </c>
      <c r="D53" s="283">
        <v>181.9</v>
      </c>
      <c r="E53" s="283">
        <v>178.04169999999999</v>
      </c>
      <c r="F53" s="33">
        <v>156602200</v>
      </c>
    </row>
    <row r="54" spans="1:6" x14ac:dyDescent="0.3">
      <c r="A54" s="286">
        <v>45883</v>
      </c>
      <c r="B54" s="283">
        <v>182.02</v>
      </c>
      <c r="C54" s="283">
        <v>179.75</v>
      </c>
      <c r="D54" s="283">
        <v>183.02</v>
      </c>
      <c r="E54" s="283">
        <v>179.46</v>
      </c>
      <c r="F54" s="33">
        <v>129554000</v>
      </c>
    </row>
    <row r="55" spans="1:6" x14ac:dyDescent="0.3">
      <c r="A55" s="286">
        <v>45882</v>
      </c>
      <c r="B55" s="283">
        <v>181.59</v>
      </c>
      <c r="C55" s="283">
        <v>182.61500000000001</v>
      </c>
      <c r="D55" s="283">
        <v>183.97</v>
      </c>
      <c r="E55" s="283">
        <v>179.35</v>
      </c>
      <c r="F55" s="33">
        <v>179871700</v>
      </c>
    </row>
    <row r="56" spans="1:6" x14ac:dyDescent="0.3">
      <c r="A56" s="286">
        <v>45881</v>
      </c>
      <c r="B56" s="283">
        <v>183.16</v>
      </c>
      <c r="C56" s="283">
        <v>182.96</v>
      </c>
      <c r="D56" s="283">
        <v>184.48</v>
      </c>
      <c r="E56" s="283">
        <v>179.46</v>
      </c>
      <c r="F56" s="33">
        <v>145729200</v>
      </c>
    </row>
    <row r="57" spans="1:6" x14ac:dyDescent="0.3">
      <c r="A57" s="286">
        <v>45880</v>
      </c>
      <c r="B57" s="283">
        <v>182.06</v>
      </c>
      <c r="C57" s="283">
        <v>182.05</v>
      </c>
      <c r="D57" s="283">
        <v>183.84</v>
      </c>
      <c r="E57" s="283">
        <v>180.25</v>
      </c>
      <c r="F57" s="33">
        <v>138323200</v>
      </c>
    </row>
    <row r="58" spans="1:6" x14ac:dyDescent="0.3">
      <c r="A58" s="286">
        <v>45877</v>
      </c>
      <c r="B58" s="283">
        <v>182.7</v>
      </c>
      <c r="C58" s="283">
        <v>181.55</v>
      </c>
      <c r="D58" s="283">
        <v>183.3</v>
      </c>
      <c r="E58" s="283">
        <v>180.4</v>
      </c>
      <c r="F58" s="33">
        <v>123396700</v>
      </c>
    </row>
    <row r="59" spans="1:6" x14ac:dyDescent="0.3">
      <c r="A59" s="286">
        <v>45876</v>
      </c>
      <c r="B59" s="283">
        <v>180.77</v>
      </c>
      <c r="C59" s="283">
        <v>181.57</v>
      </c>
      <c r="D59" s="283">
        <v>183.88</v>
      </c>
      <c r="E59" s="283">
        <v>178.79499999999999</v>
      </c>
      <c r="F59" s="33">
        <v>151878400</v>
      </c>
    </row>
    <row r="60" spans="1:6" x14ac:dyDescent="0.3">
      <c r="A60" s="286">
        <v>45875</v>
      </c>
      <c r="B60" s="283">
        <v>179.42</v>
      </c>
      <c r="C60" s="283">
        <v>176.32499999999999</v>
      </c>
      <c r="D60" s="283">
        <v>179.9</v>
      </c>
      <c r="E60" s="283">
        <v>176.25</v>
      </c>
      <c r="F60" s="33">
        <v>137192300</v>
      </c>
    </row>
    <row r="61" spans="1:6" x14ac:dyDescent="0.3">
      <c r="A61" s="286">
        <v>45874</v>
      </c>
      <c r="B61" s="283">
        <v>178.26</v>
      </c>
      <c r="C61" s="283">
        <v>179.62</v>
      </c>
      <c r="D61" s="283">
        <v>180.26</v>
      </c>
      <c r="E61" s="283">
        <v>175.9</v>
      </c>
      <c r="F61" s="33">
        <v>156407600</v>
      </c>
    </row>
    <row r="62" spans="1:6" x14ac:dyDescent="0.3">
      <c r="A62" s="286">
        <v>45873</v>
      </c>
      <c r="B62" s="283">
        <v>180</v>
      </c>
      <c r="C62" s="283">
        <v>175.16</v>
      </c>
      <c r="D62" s="283">
        <v>180.2</v>
      </c>
      <c r="E62" s="283">
        <v>174.52</v>
      </c>
      <c r="F62" s="33">
        <v>148174600</v>
      </c>
    </row>
    <row r="63" spans="1:6" x14ac:dyDescent="0.3">
      <c r="A63" s="286">
        <v>45870</v>
      </c>
      <c r="B63" s="283">
        <v>173.72</v>
      </c>
      <c r="C63" s="283">
        <v>174.09</v>
      </c>
      <c r="D63" s="283">
        <v>176.54</v>
      </c>
      <c r="E63" s="283">
        <v>170.89</v>
      </c>
      <c r="F63" s="33">
        <v>204529000</v>
      </c>
    </row>
    <row r="64" spans="1:6" x14ac:dyDescent="0.3">
      <c r="A64" s="286">
        <v>45869</v>
      </c>
      <c r="B64" s="283">
        <v>177.87</v>
      </c>
      <c r="C64" s="283">
        <v>182.9</v>
      </c>
      <c r="D64" s="283">
        <v>183.3</v>
      </c>
      <c r="E64" s="283">
        <v>175.93</v>
      </c>
      <c r="F64" s="33">
        <v>221685400</v>
      </c>
    </row>
    <row r="65" spans="1:6" x14ac:dyDescent="0.3">
      <c r="A65" s="286">
        <v>45868</v>
      </c>
      <c r="B65" s="283">
        <v>179.27</v>
      </c>
      <c r="C65" s="283">
        <v>176.51</v>
      </c>
      <c r="D65" s="283">
        <v>179.89</v>
      </c>
      <c r="E65" s="283">
        <v>176.04</v>
      </c>
      <c r="F65" s="33">
        <v>174312200</v>
      </c>
    </row>
    <row r="66" spans="1:6" x14ac:dyDescent="0.3">
      <c r="A66" s="286">
        <v>45867</v>
      </c>
      <c r="B66" s="283">
        <v>175.51</v>
      </c>
      <c r="C66" s="283">
        <v>177.96</v>
      </c>
      <c r="D66" s="283">
        <v>179.38</v>
      </c>
      <c r="E66" s="283">
        <v>175.02</v>
      </c>
      <c r="F66" s="33">
        <v>154077500</v>
      </c>
    </row>
    <row r="67" spans="1:6" x14ac:dyDescent="0.3">
      <c r="A67" s="286">
        <v>45866</v>
      </c>
      <c r="B67" s="283">
        <v>176.75</v>
      </c>
      <c r="C67" s="283">
        <v>174.02</v>
      </c>
      <c r="D67" s="283">
        <v>177</v>
      </c>
      <c r="E67" s="283">
        <v>173.97</v>
      </c>
      <c r="F67" s="33">
        <v>140023500</v>
      </c>
    </row>
    <row r="68" spans="1:6" x14ac:dyDescent="0.3">
      <c r="A68" s="286">
        <v>45863</v>
      </c>
      <c r="B68" s="283">
        <v>173.5</v>
      </c>
      <c r="C68" s="283">
        <v>173.61</v>
      </c>
      <c r="D68" s="283">
        <v>174.72</v>
      </c>
      <c r="E68" s="283">
        <v>172.96</v>
      </c>
      <c r="F68" s="33">
        <v>122316800</v>
      </c>
    </row>
    <row r="69" spans="1:6" x14ac:dyDescent="0.3">
      <c r="A69" s="286">
        <v>45862</v>
      </c>
      <c r="B69" s="283">
        <v>173.74</v>
      </c>
      <c r="C69" s="283">
        <v>172.44</v>
      </c>
      <c r="D69" s="283">
        <v>173.83</v>
      </c>
      <c r="E69" s="283">
        <v>171.3</v>
      </c>
      <c r="F69" s="33">
        <v>128984600</v>
      </c>
    </row>
    <row r="70" spans="1:6" x14ac:dyDescent="0.3">
      <c r="A70" s="286">
        <v>45861</v>
      </c>
      <c r="B70" s="283">
        <v>170.78</v>
      </c>
      <c r="C70" s="283">
        <v>169.53</v>
      </c>
      <c r="D70" s="283">
        <v>171.26</v>
      </c>
      <c r="E70" s="283">
        <v>167.97</v>
      </c>
      <c r="F70" s="33">
        <v>154082200</v>
      </c>
    </row>
    <row r="71" spans="1:6" x14ac:dyDescent="0.3">
      <c r="A71" s="286">
        <v>45860</v>
      </c>
      <c r="B71" s="283">
        <v>167.03</v>
      </c>
      <c r="C71" s="283">
        <v>171.34</v>
      </c>
      <c r="D71" s="283">
        <v>171.39</v>
      </c>
      <c r="E71" s="283">
        <v>164.58</v>
      </c>
      <c r="F71" s="33">
        <v>193114300</v>
      </c>
    </row>
    <row r="72" spans="1:6" x14ac:dyDescent="0.3">
      <c r="A72" s="286">
        <v>45859</v>
      </c>
      <c r="B72" s="283">
        <v>171.38</v>
      </c>
      <c r="C72" s="283">
        <v>172.75</v>
      </c>
      <c r="D72" s="283">
        <v>173.38</v>
      </c>
      <c r="E72" s="283">
        <v>171</v>
      </c>
      <c r="F72" s="33">
        <v>123126100</v>
      </c>
    </row>
    <row r="73" spans="1:6" x14ac:dyDescent="0.3">
      <c r="A73" s="286">
        <v>45856</v>
      </c>
      <c r="B73" s="283">
        <v>172.41</v>
      </c>
      <c r="C73" s="283">
        <v>173.64</v>
      </c>
      <c r="D73" s="283">
        <v>174.25</v>
      </c>
      <c r="E73" s="283">
        <v>171.26</v>
      </c>
      <c r="F73" s="33">
        <v>146456400</v>
      </c>
    </row>
    <row r="74" spans="1:6" x14ac:dyDescent="0.3">
      <c r="A74" s="286">
        <v>45855</v>
      </c>
      <c r="B74" s="283">
        <v>173</v>
      </c>
      <c r="C74" s="283">
        <v>172.02</v>
      </c>
      <c r="D74" s="283">
        <v>174.16</v>
      </c>
      <c r="E74" s="283">
        <v>170.83</v>
      </c>
      <c r="F74" s="33">
        <v>160841100</v>
      </c>
    </row>
    <row r="75" spans="1:6" x14ac:dyDescent="0.3">
      <c r="A75" s="286">
        <v>45854</v>
      </c>
      <c r="B75" s="283">
        <v>171.37</v>
      </c>
      <c r="C75" s="283">
        <v>171.06</v>
      </c>
      <c r="D75" s="283">
        <v>171.75</v>
      </c>
      <c r="E75" s="283">
        <v>168.9</v>
      </c>
      <c r="F75" s="33">
        <v>158831500</v>
      </c>
    </row>
    <row r="76" spans="1:6" x14ac:dyDescent="0.3">
      <c r="A76" s="286">
        <v>45853</v>
      </c>
      <c r="B76" s="283">
        <v>170.7</v>
      </c>
      <c r="C76" s="283">
        <v>171.19</v>
      </c>
      <c r="D76" s="283">
        <v>172.4</v>
      </c>
      <c r="E76" s="283">
        <v>169.19499999999999</v>
      </c>
      <c r="F76" s="33">
        <v>230627400</v>
      </c>
    </row>
    <row r="77" spans="1:6" x14ac:dyDescent="0.3">
      <c r="A77" s="286">
        <v>45852</v>
      </c>
      <c r="B77" s="283">
        <v>164.07</v>
      </c>
      <c r="C77" s="283">
        <v>165.37</v>
      </c>
      <c r="D77" s="283">
        <v>165.49</v>
      </c>
      <c r="E77" s="283">
        <v>162.02000000000001</v>
      </c>
      <c r="F77" s="33">
        <v>136975800</v>
      </c>
    </row>
    <row r="78" spans="1:6" x14ac:dyDescent="0.3">
      <c r="A78" s="286">
        <v>45849</v>
      </c>
      <c r="B78" s="283">
        <v>164.92</v>
      </c>
      <c r="C78" s="283">
        <v>163.715</v>
      </c>
      <c r="D78" s="283">
        <v>167.89</v>
      </c>
      <c r="E78" s="283">
        <v>163.47</v>
      </c>
      <c r="F78" s="33">
        <v>193633300</v>
      </c>
    </row>
    <row r="79" spans="1:6" x14ac:dyDescent="0.3">
      <c r="A79" s="286">
        <v>45848</v>
      </c>
      <c r="B79" s="283">
        <v>164.1</v>
      </c>
      <c r="C79" s="283">
        <v>164.32</v>
      </c>
      <c r="D79" s="283">
        <v>164.5</v>
      </c>
      <c r="E79" s="283">
        <v>161.61000000000001</v>
      </c>
      <c r="F79" s="33">
        <v>167704100</v>
      </c>
    </row>
    <row r="80" spans="1:6" x14ac:dyDescent="0.3">
      <c r="A80" s="286">
        <v>45847</v>
      </c>
      <c r="B80" s="283">
        <v>162.88</v>
      </c>
      <c r="C80" s="283">
        <v>161.22</v>
      </c>
      <c r="D80" s="283">
        <v>164.42</v>
      </c>
      <c r="E80" s="283">
        <v>161.16</v>
      </c>
      <c r="F80" s="33">
        <v>183656400</v>
      </c>
    </row>
    <row r="81" spans="1:6" x14ac:dyDescent="0.3">
      <c r="A81" s="286">
        <v>45846</v>
      </c>
      <c r="B81" s="283">
        <v>160</v>
      </c>
      <c r="C81" s="283">
        <v>159.33000000000001</v>
      </c>
      <c r="D81" s="283">
        <v>160.22</v>
      </c>
      <c r="E81" s="283">
        <v>158.38999999999999</v>
      </c>
      <c r="F81" s="33">
        <v>138133000</v>
      </c>
    </row>
    <row r="82" spans="1:6" x14ac:dyDescent="0.3">
      <c r="A82" s="286">
        <v>45845</v>
      </c>
      <c r="B82" s="283">
        <v>158.24</v>
      </c>
      <c r="C82" s="283">
        <v>158.19999999999999</v>
      </c>
      <c r="D82" s="283">
        <v>159.31</v>
      </c>
      <c r="E82" s="283">
        <v>157.34200000000001</v>
      </c>
      <c r="F82" s="33">
        <v>140139000</v>
      </c>
    </row>
    <row r="83" spans="1:6" x14ac:dyDescent="0.3">
      <c r="A83" s="286">
        <v>45841</v>
      </c>
      <c r="B83" s="283">
        <v>159.34</v>
      </c>
      <c r="C83" s="283">
        <v>158.37</v>
      </c>
      <c r="D83" s="283">
        <v>160.97999999999999</v>
      </c>
      <c r="E83" s="283">
        <v>157.77000000000001</v>
      </c>
      <c r="F83" s="33">
        <v>143716100</v>
      </c>
    </row>
    <row r="84" spans="1:6" x14ac:dyDescent="0.3">
      <c r="A84" s="286">
        <v>45840</v>
      </c>
      <c r="B84" s="283">
        <v>157.25</v>
      </c>
      <c r="C84" s="283">
        <v>152.97999999999999</v>
      </c>
      <c r="D84" s="283">
        <v>157.6</v>
      </c>
      <c r="E84" s="283">
        <v>152.97</v>
      </c>
      <c r="F84" s="33">
        <v>171224100</v>
      </c>
    </row>
    <row r="85" spans="1:6" x14ac:dyDescent="0.3">
      <c r="A85" s="286">
        <v>45839</v>
      </c>
      <c r="B85" s="283">
        <v>153.30000000000001</v>
      </c>
      <c r="C85" s="283">
        <v>156.29</v>
      </c>
      <c r="D85" s="283">
        <v>157.19999999999999</v>
      </c>
      <c r="E85" s="283">
        <v>151.49</v>
      </c>
      <c r="F85" s="33">
        <v>213143600</v>
      </c>
    </row>
    <row r="86" spans="1:6" x14ac:dyDescent="0.3">
      <c r="A86" s="286">
        <v>45838</v>
      </c>
      <c r="B86" s="283">
        <v>157.99</v>
      </c>
      <c r="C86" s="283">
        <v>158.4</v>
      </c>
      <c r="D86" s="283">
        <v>158.66</v>
      </c>
      <c r="E86" s="283">
        <v>155.96</v>
      </c>
      <c r="F86" s="33">
        <v>194580300</v>
      </c>
    </row>
    <row r="87" spans="1:6" x14ac:dyDescent="0.3">
      <c r="A87" s="286">
        <v>45835</v>
      </c>
      <c r="B87" s="283">
        <v>157.75</v>
      </c>
      <c r="C87" s="283">
        <v>156.04</v>
      </c>
      <c r="D87" s="283">
        <v>158.71</v>
      </c>
      <c r="E87" s="283">
        <v>155.255</v>
      </c>
      <c r="F87" s="33">
        <v>263234500</v>
      </c>
    </row>
    <row r="88" spans="1:6" x14ac:dyDescent="0.3">
      <c r="A88" s="286">
        <v>45834</v>
      </c>
      <c r="B88" s="283">
        <v>155.02000000000001</v>
      </c>
      <c r="C88" s="283">
        <v>155.97499999999999</v>
      </c>
      <c r="D88" s="283">
        <v>156.715</v>
      </c>
      <c r="E88" s="283">
        <v>154</v>
      </c>
      <c r="F88" s="33">
        <v>198145700</v>
      </c>
    </row>
    <row r="89" spans="1:6" x14ac:dyDescent="0.3">
      <c r="A89" s="286">
        <v>45833</v>
      </c>
      <c r="B89" s="283">
        <v>154.31</v>
      </c>
      <c r="C89" s="283">
        <v>149.27000000000001</v>
      </c>
      <c r="D89" s="283">
        <v>154.44999999999999</v>
      </c>
      <c r="E89" s="283">
        <v>149.26</v>
      </c>
      <c r="F89" s="33">
        <v>269146500</v>
      </c>
    </row>
    <row r="90" spans="1:6" x14ac:dyDescent="0.3">
      <c r="A90" s="286">
        <v>45832</v>
      </c>
      <c r="B90" s="283">
        <v>147.9</v>
      </c>
      <c r="C90" s="283">
        <v>145.56</v>
      </c>
      <c r="D90" s="283">
        <v>147.96</v>
      </c>
      <c r="E90" s="283">
        <v>145.5</v>
      </c>
      <c r="F90" s="33">
        <v>187566100</v>
      </c>
    </row>
    <row r="91" spans="1:6" x14ac:dyDescent="0.3">
      <c r="A91" s="286">
        <v>45831</v>
      </c>
      <c r="B91" s="283">
        <v>144.16999999999999</v>
      </c>
      <c r="C91" s="283">
        <v>142.5</v>
      </c>
      <c r="D91" s="283">
        <v>144.78</v>
      </c>
      <c r="E91" s="283">
        <v>142.03</v>
      </c>
      <c r="F91" s="33">
        <v>154308900</v>
      </c>
    </row>
    <row r="92" spans="1:6" x14ac:dyDescent="0.3">
      <c r="A92" s="286">
        <v>45828</v>
      </c>
      <c r="B92" s="283">
        <v>143.85</v>
      </c>
      <c r="C92" s="283">
        <v>145.44999999999999</v>
      </c>
      <c r="D92" s="283">
        <v>146.19999999999999</v>
      </c>
      <c r="E92" s="283">
        <v>142.65</v>
      </c>
      <c r="F92" s="33">
        <v>242956200</v>
      </c>
    </row>
    <row r="93" spans="1:6" x14ac:dyDescent="0.3">
      <c r="A93" s="286">
        <v>45826</v>
      </c>
      <c r="B93" s="283">
        <v>145.47999999999999</v>
      </c>
      <c r="C93" s="283">
        <v>144.005</v>
      </c>
      <c r="D93" s="283">
        <v>145.65</v>
      </c>
      <c r="E93" s="283">
        <v>143.12</v>
      </c>
      <c r="F93" s="33">
        <v>161494100</v>
      </c>
    </row>
    <row r="94" spans="1:6" x14ac:dyDescent="0.3">
      <c r="A94" s="286">
        <v>45825</v>
      </c>
      <c r="B94" s="283">
        <v>144.12</v>
      </c>
      <c r="C94" s="283">
        <v>144.49</v>
      </c>
      <c r="D94" s="283">
        <v>145.22</v>
      </c>
      <c r="E94" s="283">
        <v>143.78</v>
      </c>
      <c r="F94" s="33">
        <v>139108000</v>
      </c>
    </row>
    <row r="95" spans="1:6" x14ac:dyDescent="0.3">
      <c r="A95" s="286">
        <v>45824</v>
      </c>
      <c r="B95" s="283">
        <v>144.69</v>
      </c>
      <c r="C95" s="283">
        <v>143.345</v>
      </c>
      <c r="D95" s="283">
        <v>146.17500000000001</v>
      </c>
      <c r="E95" s="283">
        <v>143.20009999999999</v>
      </c>
      <c r="F95" s="33">
        <v>183133700</v>
      </c>
    </row>
    <row r="96" spans="1:6" x14ac:dyDescent="0.3">
      <c r="A96" s="286">
        <v>45821</v>
      </c>
      <c r="B96" s="283">
        <v>141.97</v>
      </c>
      <c r="C96" s="283">
        <v>142.47999999999999</v>
      </c>
      <c r="D96" s="283">
        <v>143.58000000000001</v>
      </c>
      <c r="E96" s="283">
        <v>140.85499999999999</v>
      </c>
      <c r="F96" s="33">
        <v>180820600</v>
      </c>
    </row>
    <row r="97" spans="1:6" x14ac:dyDescent="0.3">
      <c r="A97" s="286">
        <v>45820</v>
      </c>
      <c r="B97" s="283">
        <v>145</v>
      </c>
      <c r="C97" s="283">
        <v>141.97</v>
      </c>
      <c r="D97" s="283">
        <v>145</v>
      </c>
      <c r="E97" s="283">
        <v>141.85</v>
      </c>
      <c r="F97" s="33">
        <v>162365000</v>
      </c>
    </row>
    <row r="98" spans="1:6" x14ac:dyDescent="0.3">
      <c r="A98" s="286">
        <v>45819</v>
      </c>
      <c r="B98" s="283">
        <v>142.83000000000001</v>
      </c>
      <c r="C98" s="283">
        <v>144.61000000000001</v>
      </c>
      <c r="D98" s="283">
        <v>144.99</v>
      </c>
      <c r="E98" s="283">
        <v>141.87</v>
      </c>
      <c r="F98" s="33">
        <v>167694000</v>
      </c>
    </row>
    <row r="99" spans="1:6" x14ac:dyDescent="0.3">
      <c r="A99" s="286">
        <v>45818</v>
      </c>
      <c r="B99" s="283">
        <v>143.96</v>
      </c>
      <c r="C99" s="283">
        <v>142.69</v>
      </c>
      <c r="D99" s="283">
        <v>144.29</v>
      </c>
      <c r="E99" s="283">
        <v>141.52500000000001</v>
      </c>
      <c r="F99" s="33">
        <v>155881900</v>
      </c>
    </row>
    <row r="100" spans="1:6" x14ac:dyDescent="0.3">
      <c r="A100" s="286">
        <v>45817</v>
      </c>
      <c r="B100" s="283">
        <v>142.63</v>
      </c>
      <c r="C100" s="283">
        <v>143.19</v>
      </c>
      <c r="D100" s="283">
        <v>145</v>
      </c>
      <c r="E100" s="283">
        <v>141.94</v>
      </c>
      <c r="F100" s="33">
        <v>185114500</v>
      </c>
    </row>
    <row r="101" spans="1:6" x14ac:dyDescent="0.3">
      <c r="A101" s="286">
        <v>45814</v>
      </c>
      <c r="B101" s="283">
        <v>141.72</v>
      </c>
      <c r="C101" s="283">
        <v>142.51</v>
      </c>
      <c r="D101" s="283">
        <v>143.27000000000001</v>
      </c>
      <c r="E101" s="283">
        <v>141.51</v>
      </c>
      <c r="F101" s="33">
        <v>153986200</v>
      </c>
    </row>
    <row r="102" spans="1:6" x14ac:dyDescent="0.3">
      <c r="A102" s="286">
        <v>45813</v>
      </c>
      <c r="B102" s="283">
        <v>139.99</v>
      </c>
      <c r="C102" s="283">
        <v>142.16999999999999</v>
      </c>
      <c r="D102" s="283">
        <v>144</v>
      </c>
      <c r="E102" s="283">
        <v>138.83000000000001</v>
      </c>
      <c r="F102" s="33">
        <v>232410800</v>
      </c>
    </row>
    <row r="103" spans="1:6" x14ac:dyDescent="0.3">
      <c r="A103" s="286">
        <v>45812</v>
      </c>
      <c r="B103" s="283">
        <v>141.91999999999999</v>
      </c>
      <c r="C103" s="283">
        <v>142.19</v>
      </c>
      <c r="D103" s="283">
        <v>142.38999999999999</v>
      </c>
      <c r="E103" s="283">
        <v>139.54499999999999</v>
      </c>
      <c r="F103" s="33">
        <v>167120800</v>
      </c>
    </row>
    <row r="104" spans="1:6" x14ac:dyDescent="0.3">
      <c r="A104" s="286">
        <v>45811</v>
      </c>
      <c r="B104" s="283">
        <v>141.22</v>
      </c>
      <c r="C104" s="283">
        <v>138.78</v>
      </c>
      <c r="D104" s="283">
        <v>142</v>
      </c>
      <c r="E104" s="283">
        <v>137.94999999999999</v>
      </c>
      <c r="F104" s="33">
        <v>225578800</v>
      </c>
    </row>
    <row r="105" spans="1:6" x14ac:dyDescent="0.3">
      <c r="A105" s="286">
        <v>45810</v>
      </c>
      <c r="B105" s="283">
        <v>137.38</v>
      </c>
      <c r="C105" s="283">
        <v>135.49</v>
      </c>
      <c r="D105" s="283">
        <v>138.12</v>
      </c>
      <c r="E105" s="283">
        <v>135.4</v>
      </c>
      <c r="F105" s="33">
        <v>197663100</v>
      </c>
    </row>
    <row r="106" spans="1:6" x14ac:dyDescent="0.3">
      <c r="A106" s="286">
        <v>45807</v>
      </c>
      <c r="B106" s="283">
        <v>135.13</v>
      </c>
      <c r="C106" s="283">
        <v>138.715</v>
      </c>
      <c r="D106" s="283">
        <v>139.62</v>
      </c>
      <c r="E106" s="283">
        <v>132.91999999999999</v>
      </c>
      <c r="F106" s="33">
        <v>333170900</v>
      </c>
    </row>
    <row r="107" spans="1:6" x14ac:dyDescent="0.3">
      <c r="A107" s="286">
        <v>45806</v>
      </c>
      <c r="B107" s="283">
        <v>139.19</v>
      </c>
      <c r="C107" s="283">
        <v>142.245</v>
      </c>
      <c r="D107" s="283">
        <v>143.49</v>
      </c>
      <c r="E107" s="283">
        <v>137.91</v>
      </c>
      <c r="F107" s="33">
        <v>370615200</v>
      </c>
    </row>
    <row r="108" spans="1:6" x14ac:dyDescent="0.3">
      <c r="A108" s="286">
        <v>45805</v>
      </c>
      <c r="B108" s="283">
        <v>134.81</v>
      </c>
      <c r="C108" s="283">
        <v>136.02500000000001</v>
      </c>
      <c r="D108" s="283">
        <v>137.25</v>
      </c>
      <c r="E108" s="283">
        <v>134.79</v>
      </c>
      <c r="F108" s="33">
        <v>304021100</v>
      </c>
    </row>
    <row r="109" spans="1:6" x14ac:dyDescent="0.3">
      <c r="A109" s="286">
        <v>45804</v>
      </c>
      <c r="B109" s="283">
        <v>135.5</v>
      </c>
      <c r="C109" s="283">
        <v>134.15</v>
      </c>
      <c r="D109" s="283">
        <v>135.66</v>
      </c>
      <c r="E109" s="283">
        <v>133.31</v>
      </c>
      <c r="F109" s="33">
        <v>192953600</v>
      </c>
    </row>
    <row r="110" spans="1:6" x14ac:dyDescent="0.3">
      <c r="A110" s="286">
        <v>45800</v>
      </c>
      <c r="B110" s="283">
        <v>131.29</v>
      </c>
      <c r="C110" s="283">
        <v>130</v>
      </c>
      <c r="D110" s="283">
        <v>132.68</v>
      </c>
      <c r="E110" s="283">
        <v>129.16</v>
      </c>
      <c r="F110" s="33">
        <v>198821300</v>
      </c>
    </row>
    <row r="111" spans="1:6" x14ac:dyDescent="0.3">
      <c r="A111" s="286">
        <v>45799</v>
      </c>
      <c r="B111" s="283">
        <v>132.83000000000001</v>
      </c>
      <c r="C111" s="283">
        <v>132.22999999999999</v>
      </c>
      <c r="D111" s="283">
        <v>134.25</v>
      </c>
      <c r="E111" s="283">
        <v>131.55000000000001</v>
      </c>
      <c r="F111" s="33">
        <v>187344000</v>
      </c>
    </row>
    <row r="112" spans="1:6" x14ac:dyDescent="0.3">
      <c r="A112" s="286">
        <v>45798</v>
      </c>
      <c r="B112" s="283">
        <v>131.80000000000001</v>
      </c>
      <c r="C112" s="283">
        <v>133.06</v>
      </c>
      <c r="D112" s="283">
        <v>137.4</v>
      </c>
      <c r="E112" s="283">
        <v>130.59</v>
      </c>
      <c r="F112" s="33">
        <v>270608700</v>
      </c>
    </row>
    <row r="113" spans="1:6" x14ac:dyDescent="0.3">
      <c r="A113" s="286">
        <v>45797</v>
      </c>
      <c r="B113" s="283">
        <v>134.38</v>
      </c>
      <c r="C113" s="283">
        <v>134.29</v>
      </c>
      <c r="D113" s="283">
        <v>134.58000000000001</v>
      </c>
      <c r="E113" s="283">
        <v>132.62</v>
      </c>
      <c r="F113" s="33">
        <v>161514200</v>
      </c>
    </row>
    <row r="114" spans="1:6" x14ac:dyDescent="0.3">
      <c r="A114" s="286">
        <v>45796</v>
      </c>
      <c r="B114" s="283">
        <v>135.57</v>
      </c>
      <c r="C114" s="283">
        <v>132.38999999999999</v>
      </c>
      <c r="D114" s="283">
        <v>135.87</v>
      </c>
      <c r="E114" s="283">
        <v>132.38999999999999</v>
      </c>
      <c r="F114" s="33">
        <v>193154600</v>
      </c>
    </row>
    <row r="115" spans="1:6" x14ac:dyDescent="0.3">
      <c r="A115" s="286">
        <v>45793</v>
      </c>
      <c r="B115" s="283">
        <v>135.4</v>
      </c>
      <c r="C115" s="283">
        <v>136.22</v>
      </c>
      <c r="D115" s="283">
        <v>136.35</v>
      </c>
      <c r="E115" s="283">
        <v>133.46</v>
      </c>
      <c r="F115" s="33">
        <v>226542500</v>
      </c>
    </row>
    <row r="116" spans="1:6" x14ac:dyDescent="0.3">
      <c r="A116" s="286">
        <v>45792</v>
      </c>
      <c r="B116" s="283">
        <v>134.83000000000001</v>
      </c>
      <c r="C116" s="283">
        <v>134.29499999999999</v>
      </c>
      <c r="D116" s="283">
        <v>136.30000000000001</v>
      </c>
      <c r="E116" s="283">
        <v>132.66</v>
      </c>
      <c r="F116" s="33">
        <v>226632600</v>
      </c>
    </row>
    <row r="117" spans="1:6" x14ac:dyDescent="0.3">
      <c r="A117" s="286">
        <v>45791</v>
      </c>
      <c r="B117" s="283">
        <v>135.34</v>
      </c>
      <c r="C117" s="283">
        <v>133.19499999999999</v>
      </c>
      <c r="D117" s="283">
        <v>135.435</v>
      </c>
      <c r="E117" s="283">
        <v>131.68</v>
      </c>
      <c r="F117" s="33">
        <v>281180800</v>
      </c>
    </row>
    <row r="118" spans="1:6" x14ac:dyDescent="0.3">
      <c r="A118" s="286">
        <v>45790</v>
      </c>
      <c r="B118" s="283">
        <v>129.93</v>
      </c>
      <c r="C118" s="283">
        <v>124.98</v>
      </c>
      <c r="D118" s="283">
        <v>131.21889999999999</v>
      </c>
      <c r="E118" s="283">
        <v>124.47</v>
      </c>
      <c r="F118" s="33">
        <v>330430100</v>
      </c>
    </row>
    <row r="119" spans="1:6" x14ac:dyDescent="0.3">
      <c r="A119" s="286">
        <v>45789</v>
      </c>
      <c r="B119" s="283">
        <v>123</v>
      </c>
      <c r="C119" s="283">
        <v>121.97</v>
      </c>
      <c r="D119" s="283">
        <v>123</v>
      </c>
      <c r="E119" s="283">
        <v>120.28</v>
      </c>
      <c r="F119" s="33">
        <v>225023300</v>
      </c>
    </row>
    <row r="120" spans="1:6" x14ac:dyDescent="0.3">
      <c r="A120" s="286">
        <v>45786</v>
      </c>
      <c r="B120" s="283">
        <v>116.65</v>
      </c>
      <c r="C120" s="283">
        <v>117.35</v>
      </c>
      <c r="D120" s="283">
        <v>118.23</v>
      </c>
      <c r="E120" s="283">
        <v>115.21</v>
      </c>
      <c r="F120" s="33">
        <v>132972200</v>
      </c>
    </row>
    <row r="121" spans="1:6" x14ac:dyDescent="0.3">
      <c r="A121" s="286">
        <v>45785</v>
      </c>
      <c r="B121" s="283">
        <v>117.37</v>
      </c>
      <c r="C121" s="283">
        <v>118.25</v>
      </c>
      <c r="D121" s="283">
        <v>118.68</v>
      </c>
      <c r="E121" s="283">
        <v>115.85</v>
      </c>
      <c r="F121" s="33">
        <v>198428100</v>
      </c>
    </row>
    <row r="122" spans="1:6" x14ac:dyDescent="0.3">
      <c r="A122" s="286">
        <v>45784</v>
      </c>
      <c r="B122" s="283">
        <v>117.06</v>
      </c>
      <c r="C122" s="283">
        <v>113.045</v>
      </c>
      <c r="D122" s="283">
        <v>117.68</v>
      </c>
      <c r="E122" s="283">
        <v>112.2818</v>
      </c>
      <c r="F122" s="33">
        <v>207827800</v>
      </c>
    </row>
    <row r="123" spans="1:6" x14ac:dyDescent="0.3">
      <c r="A123" s="286">
        <v>45783</v>
      </c>
      <c r="B123" s="283">
        <v>113.54</v>
      </c>
      <c r="C123" s="283">
        <v>111.48</v>
      </c>
      <c r="D123" s="283">
        <v>114.74</v>
      </c>
      <c r="E123" s="283">
        <v>110.822</v>
      </c>
      <c r="F123" s="33">
        <v>158525600</v>
      </c>
    </row>
    <row r="124" spans="1:6" x14ac:dyDescent="0.3">
      <c r="A124" s="286">
        <v>45782</v>
      </c>
      <c r="B124" s="283">
        <v>113.82</v>
      </c>
      <c r="C124" s="283">
        <v>112.905</v>
      </c>
      <c r="D124" s="283">
        <v>114.66500000000001</v>
      </c>
      <c r="E124" s="283">
        <v>112.66</v>
      </c>
      <c r="F124" s="33">
        <v>133163200</v>
      </c>
    </row>
    <row r="125" spans="1:6" x14ac:dyDescent="0.3">
      <c r="A125" s="286">
        <v>45779</v>
      </c>
      <c r="B125" s="283">
        <v>114.5</v>
      </c>
      <c r="C125" s="283">
        <v>114.18</v>
      </c>
      <c r="D125" s="283">
        <v>115.4</v>
      </c>
      <c r="E125" s="283">
        <v>113.37</v>
      </c>
      <c r="F125" s="33">
        <v>190194800</v>
      </c>
    </row>
    <row r="126" spans="1:6" x14ac:dyDescent="0.3">
      <c r="A126" s="286">
        <v>45778</v>
      </c>
      <c r="B126" s="283">
        <v>111.61</v>
      </c>
      <c r="C126" s="283">
        <v>113.08</v>
      </c>
      <c r="D126" s="283">
        <v>114.94</v>
      </c>
      <c r="E126" s="283">
        <v>111.3</v>
      </c>
      <c r="F126" s="33">
        <v>236121500</v>
      </c>
    </row>
    <row r="127" spans="1:6" x14ac:dyDescent="0.3">
      <c r="A127" s="286">
        <v>45777</v>
      </c>
      <c r="B127" s="283">
        <v>108.92</v>
      </c>
      <c r="C127" s="283">
        <v>104.47</v>
      </c>
      <c r="D127" s="283">
        <v>108.92</v>
      </c>
      <c r="E127" s="283">
        <v>104.08</v>
      </c>
      <c r="F127" s="33">
        <v>235044600</v>
      </c>
    </row>
    <row r="128" spans="1:6" x14ac:dyDescent="0.3">
      <c r="A128" s="286">
        <v>45776</v>
      </c>
      <c r="B128" s="283">
        <v>109.02</v>
      </c>
      <c r="C128" s="283">
        <v>107.67</v>
      </c>
      <c r="D128" s="283">
        <v>110.1999</v>
      </c>
      <c r="E128" s="283">
        <v>107.44</v>
      </c>
      <c r="F128" s="33">
        <v>170444300</v>
      </c>
    </row>
    <row r="129" spans="1:6" x14ac:dyDescent="0.3">
      <c r="A129" s="286">
        <v>45775</v>
      </c>
      <c r="B129" s="283">
        <v>108.73</v>
      </c>
      <c r="C129" s="283">
        <v>109.69</v>
      </c>
      <c r="D129" s="283">
        <v>110.3699</v>
      </c>
      <c r="E129" s="283">
        <v>106.02</v>
      </c>
      <c r="F129" s="33">
        <v>207708500</v>
      </c>
    </row>
    <row r="130" spans="1:6" x14ac:dyDescent="0.3">
      <c r="A130" s="286">
        <v>45772</v>
      </c>
      <c r="B130" s="283">
        <v>111.01</v>
      </c>
      <c r="C130" s="283">
        <v>106.85</v>
      </c>
      <c r="D130" s="283">
        <v>111.92</v>
      </c>
      <c r="E130" s="283">
        <v>105.73</v>
      </c>
      <c r="F130" s="33">
        <v>251064700</v>
      </c>
    </row>
    <row r="131" spans="1:6" x14ac:dyDescent="0.3">
      <c r="A131" s="286">
        <v>45771</v>
      </c>
      <c r="B131" s="283">
        <v>106.43</v>
      </c>
      <c r="C131" s="283">
        <v>103.47499999999999</v>
      </c>
      <c r="D131" s="283">
        <v>106.54</v>
      </c>
      <c r="E131" s="283">
        <v>103.11</v>
      </c>
      <c r="F131" s="33">
        <v>220815000</v>
      </c>
    </row>
    <row r="132" spans="1:6" x14ac:dyDescent="0.3">
      <c r="A132" s="286">
        <v>45770</v>
      </c>
      <c r="B132" s="283">
        <v>102.71</v>
      </c>
      <c r="C132" s="283">
        <v>104.52</v>
      </c>
      <c r="D132" s="283">
        <v>104.8</v>
      </c>
      <c r="E132" s="283">
        <v>102.02</v>
      </c>
      <c r="F132" s="33">
        <v>247526000</v>
      </c>
    </row>
    <row r="133" spans="1:6" x14ac:dyDescent="0.3">
      <c r="A133" s="286">
        <v>45769</v>
      </c>
      <c r="B133" s="283">
        <v>98.89</v>
      </c>
      <c r="C133" s="283">
        <v>98.78</v>
      </c>
      <c r="D133" s="283">
        <v>99.811000000000007</v>
      </c>
      <c r="E133" s="283">
        <v>97.28</v>
      </c>
      <c r="F133" s="33">
        <v>241004800</v>
      </c>
    </row>
    <row r="134" spans="1:6" x14ac:dyDescent="0.3">
      <c r="A134" s="286">
        <v>45768</v>
      </c>
      <c r="B134" s="283">
        <v>96.91</v>
      </c>
      <c r="C134" s="283">
        <v>98.77</v>
      </c>
      <c r="D134" s="283">
        <v>99.44</v>
      </c>
      <c r="E134" s="283">
        <v>95.04</v>
      </c>
      <c r="F134" s="33">
        <v>288501100</v>
      </c>
    </row>
    <row r="135" spans="1:6" x14ac:dyDescent="0.3">
      <c r="A135" s="286">
        <v>45764</v>
      </c>
      <c r="B135" s="283">
        <v>101.49</v>
      </c>
      <c r="C135" s="283">
        <v>104.45</v>
      </c>
      <c r="D135" s="283">
        <v>104.47</v>
      </c>
      <c r="E135" s="283">
        <v>100.05</v>
      </c>
      <c r="F135" s="33">
        <v>292517500</v>
      </c>
    </row>
    <row r="136" spans="1:6" x14ac:dyDescent="0.3">
      <c r="A136" s="286">
        <v>45763</v>
      </c>
      <c r="B136" s="283">
        <v>104.49</v>
      </c>
      <c r="C136" s="283">
        <v>104.55</v>
      </c>
      <c r="D136" s="283">
        <v>106.79</v>
      </c>
      <c r="E136" s="283">
        <v>100.45</v>
      </c>
      <c r="F136" s="33">
        <v>397016900</v>
      </c>
    </row>
    <row r="137" spans="1:6" x14ac:dyDescent="0.3">
      <c r="A137" s="286">
        <v>45762</v>
      </c>
      <c r="B137" s="283">
        <v>112.2</v>
      </c>
      <c r="C137" s="283">
        <v>110.97</v>
      </c>
      <c r="D137" s="283">
        <v>113.61499999999999</v>
      </c>
      <c r="E137" s="283">
        <v>110.5</v>
      </c>
      <c r="F137" s="33">
        <v>228966900</v>
      </c>
    </row>
    <row r="138" spans="1:6" x14ac:dyDescent="0.3">
      <c r="A138" s="286">
        <v>45761</v>
      </c>
      <c r="B138" s="283">
        <v>110.71</v>
      </c>
      <c r="C138" s="283">
        <v>114.11</v>
      </c>
      <c r="D138" s="283">
        <v>114.29</v>
      </c>
      <c r="E138" s="283">
        <v>109.07</v>
      </c>
      <c r="F138" s="33">
        <v>264705000</v>
      </c>
    </row>
    <row r="139" spans="1:6" x14ac:dyDescent="0.3">
      <c r="A139" s="286">
        <v>45758</v>
      </c>
      <c r="B139" s="283">
        <v>110.93</v>
      </c>
      <c r="C139" s="283">
        <v>108.5</v>
      </c>
      <c r="D139" s="283">
        <v>111.54989999999999</v>
      </c>
      <c r="E139" s="283">
        <v>107.48</v>
      </c>
      <c r="F139" s="33">
        <v>313417300</v>
      </c>
    </row>
    <row r="140" spans="1:6" x14ac:dyDescent="0.3">
      <c r="A140" s="286">
        <v>45757</v>
      </c>
      <c r="B140" s="283">
        <v>107.57</v>
      </c>
      <c r="C140" s="283">
        <v>109.37</v>
      </c>
      <c r="D140" s="283">
        <v>110.86</v>
      </c>
      <c r="E140" s="283">
        <v>99.15</v>
      </c>
      <c r="F140" s="33">
        <v>437812400</v>
      </c>
    </row>
    <row r="141" spans="1:6" x14ac:dyDescent="0.3">
      <c r="A141" s="286">
        <v>45756</v>
      </c>
      <c r="B141" s="283">
        <v>114.33</v>
      </c>
      <c r="C141" s="283">
        <v>98.89</v>
      </c>
      <c r="D141" s="283">
        <v>115.1</v>
      </c>
      <c r="E141" s="283">
        <v>97.530100000000004</v>
      </c>
      <c r="F141" s="33">
        <v>612918300</v>
      </c>
    </row>
    <row r="142" spans="1:6" x14ac:dyDescent="0.3">
      <c r="A142" s="286">
        <v>45755</v>
      </c>
      <c r="B142" s="283">
        <v>96.3</v>
      </c>
      <c r="C142" s="283">
        <v>103.80500000000001</v>
      </c>
      <c r="D142" s="283">
        <v>105.85</v>
      </c>
      <c r="E142" s="283">
        <v>94.46</v>
      </c>
      <c r="F142" s="33">
        <v>476243400</v>
      </c>
    </row>
    <row r="143" spans="1:6" x14ac:dyDescent="0.3">
      <c r="A143" s="286">
        <v>45754</v>
      </c>
      <c r="B143" s="283">
        <v>97.64</v>
      </c>
      <c r="C143" s="283">
        <v>87.46</v>
      </c>
      <c r="D143" s="283">
        <v>101.75</v>
      </c>
      <c r="E143" s="283">
        <v>86.62</v>
      </c>
      <c r="F143" s="33">
        <v>611041300</v>
      </c>
    </row>
    <row r="144" spans="1:6" x14ac:dyDescent="0.3">
      <c r="A144" s="286">
        <v>45751</v>
      </c>
      <c r="B144" s="283">
        <v>94.31</v>
      </c>
      <c r="C144" s="283">
        <v>98.91</v>
      </c>
      <c r="D144" s="283">
        <v>100.13</v>
      </c>
      <c r="E144" s="283">
        <v>92.11</v>
      </c>
      <c r="F144" s="33">
        <v>532273800</v>
      </c>
    </row>
    <row r="145" spans="1:6" x14ac:dyDescent="0.3">
      <c r="A145" s="286">
        <v>45750</v>
      </c>
      <c r="B145" s="283">
        <v>101.8</v>
      </c>
      <c r="C145" s="283">
        <v>103.51</v>
      </c>
      <c r="D145" s="283">
        <v>105.63</v>
      </c>
      <c r="E145" s="283">
        <v>101.6</v>
      </c>
      <c r="F145" s="33">
        <v>338769400</v>
      </c>
    </row>
    <row r="146" spans="1:6" x14ac:dyDescent="0.3">
      <c r="A146" s="286">
        <v>45749</v>
      </c>
      <c r="B146" s="283">
        <v>110.42</v>
      </c>
      <c r="C146" s="283">
        <v>107.29</v>
      </c>
      <c r="D146" s="283">
        <v>111.98</v>
      </c>
      <c r="E146" s="283">
        <v>106.79</v>
      </c>
      <c r="F146" s="33">
        <v>220601200</v>
      </c>
    </row>
    <row r="147" spans="1:6" x14ac:dyDescent="0.3">
      <c r="A147" s="286">
        <v>45748</v>
      </c>
      <c r="B147" s="283">
        <v>110.15</v>
      </c>
      <c r="C147" s="283">
        <v>108.515</v>
      </c>
      <c r="D147" s="283">
        <v>110.2</v>
      </c>
      <c r="E147" s="283">
        <v>106.47</v>
      </c>
      <c r="F147" s="33">
        <v>222614000</v>
      </c>
    </row>
    <row r="148" spans="1:6" x14ac:dyDescent="0.3">
      <c r="A148" s="286">
        <v>45747</v>
      </c>
      <c r="B148" s="283">
        <v>108.38</v>
      </c>
      <c r="C148" s="283">
        <v>105.13</v>
      </c>
      <c r="D148" s="283">
        <v>110.955</v>
      </c>
      <c r="E148" s="283">
        <v>103.65</v>
      </c>
      <c r="F148" s="33">
        <v>299212700</v>
      </c>
    </row>
    <row r="149" spans="1:6" x14ac:dyDescent="0.3">
      <c r="A149" s="286">
        <v>45744</v>
      </c>
      <c r="B149" s="283">
        <v>109.67</v>
      </c>
      <c r="C149" s="283">
        <v>111.485</v>
      </c>
      <c r="D149" s="283">
        <v>112.87</v>
      </c>
      <c r="E149" s="283">
        <v>109.0701</v>
      </c>
      <c r="F149" s="33">
        <v>229872500</v>
      </c>
    </row>
    <row r="150" spans="1:6" x14ac:dyDescent="0.3">
      <c r="A150" s="286">
        <v>45743</v>
      </c>
      <c r="B150" s="283">
        <v>111.43</v>
      </c>
      <c r="C150" s="283">
        <v>111.35</v>
      </c>
      <c r="D150" s="283">
        <v>114.45</v>
      </c>
      <c r="E150" s="283">
        <v>110.66</v>
      </c>
      <c r="F150" s="33">
        <v>236902100</v>
      </c>
    </row>
    <row r="151" spans="1:6" x14ac:dyDescent="0.3">
      <c r="A151" s="286">
        <v>45742</v>
      </c>
      <c r="B151" s="283">
        <v>113.76</v>
      </c>
      <c r="C151" s="283">
        <v>118.73</v>
      </c>
      <c r="D151" s="283">
        <v>118.84</v>
      </c>
      <c r="E151" s="283">
        <v>112.71</v>
      </c>
      <c r="F151" s="33">
        <v>296431700</v>
      </c>
    </row>
    <row r="152" spans="1:6" x14ac:dyDescent="0.3">
      <c r="A152" s="286">
        <v>45741</v>
      </c>
      <c r="B152" s="283">
        <v>120.69</v>
      </c>
      <c r="C152" s="283">
        <v>120.545</v>
      </c>
      <c r="D152" s="283">
        <v>121.29</v>
      </c>
      <c r="E152" s="283">
        <v>118.92</v>
      </c>
      <c r="F152" s="33">
        <v>167447200</v>
      </c>
    </row>
    <row r="153" spans="1:6" x14ac:dyDescent="0.3">
      <c r="A153" s="286">
        <v>45740</v>
      </c>
      <c r="B153" s="283">
        <v>121.41</v>
      </c>
      <c r="C153" s="283">
        <v>119.88</v>
      </c>
      <c r="D153" s="283">
        <v>122.22</v>
      </c>
      <c r="E153" s="283">
        <v>119.34</v>
      </c>
      <c r="F153" s="33">
        <v>228452500</v>
      </c>
    </row>
    <row r="154" spans="1:6" x14ac:dyDescent="0.3">
      <c r="A154" s="286">
        <v>45737</v>
      </c>
      <c r="B154" s="283">
        <v>117.7</v>
      </c>
      <c r="C154" s="283">
        <v>116.94</v>
      </c>
      <c r="D154" s="283">
        <v>117.99</v>
      </c>
      <c r="E154" s="283">
        <v>115.42</v>
      </c>
      <c r="F154" s="33">
        <v>266498500</v>
      </c>
    </row>
    <row r="155" spans="1:6" x14ac:dyDescent="0.3">
      <c r="A155" s="286">
        <v>45736</v>
      </c>
      <c r="B155" s="283">
        <v>118.53</v>
      </c>
      <c r="C155" s="283">
        <v>116.55</v>
      </c>
      <c r="D155" s="283">
        <v>120.2</v>
      </c>
      <c r="E155" s="283">
        <v>116.47</v>
      </c>
      <c r="F155" s="33">
        <v>248829700</v>
      </c>
    </row>
    <row r="156" spans="1:6" x14ac:dyDescent="0.3">
      <c r="A156" s="286">
        <v>45735</v>
      </c>
      <c r="B156" s="283">
        <v>117.52</v>
      </c>
      <c r="C156" s="283">
        <v>117.27</v>
      </c>
      <c r="D156" s="283">
        <v>120.44499999999999</v>
      </c>
      <c r="E156" s="283">
        <v>115.68</v>
      </c>
      <c r="F156" s="33">
        <v>273426200</v>
      </c>
    </row>
    <row r="157" spans="1:6" x14ac:dyDescent="0.3">
      <c r="A157" s="286">
        <v>45734</v>
      </c>
      <c r="B157" s="283">
        <v>115.43</v>
      </c>
      <c r="C157" s="283">
        <v>118</v>
      </c>
      <c r="D157" s="283">
        <v>119.02</v>
      </c>
      <c r="E157" s="283">
        <v>114.54</v>
      </c>
      <c r="F157" s="33">
        <v>299686900</v>
      </c>
    </row>
    <row r="158" spans="1:6" x14ac:dyDescent="0.3">
      <c r="A158" s="286">
        <v>45733</v>
      </c>
      <c r="B158" s="283">
        <v>119.53</v>
      </c>
      <c r="C158" s="283">
        <v>122.74</v>
      </c>
      <c r="D158" s="283">
        <v>122.89</v>
      </c>
      <c r="E158" s="283">
        <v>118.03</v>
      </c>
      <c r="F158" s="33">
        <v>255501500</v>
      </c>
    </row>
    <row r="159" spans="1:6" x14ac:dyDescent="0.3">
      <c r="A159" s="286">
        <v>45730</v>
      </c>
      <c r="B159" s="283">
        <v>121.67</v>
      </c>
      <c r="C159" s="283">
        <v>118.61</v>
      </c>
      <c r="D159" s="283">
        <v>121.88</v>
      </c>
      <c r="E159" s="283">
        <v>118.15</v>
      </c>
      <c r="F159" s="33">
        <v>277593500</v>
      </c>
    </row>
    <row r="160" spans="1:6" x14ac:dyDescent="0.3">
      <c r="A160" s="286">
        <v>45729</v>
      </c>
      <c r="B160" s="283">
        <v>115.58</v>
      </c>
      <c r="C160" s="283">
        <v>117.03</v>
      </c>
      <c r="D160" s="283">
        <v>117.76</v>
      </c>
      <c r="E160" s="283">
        <v>113.79</v>
      </c>
      <c r="F160" s="33">
        <v>299033100</v>
      </c>
    </row>
    <row r="161" spans="1:6" x14ac:dyDescent="0.3">
      <c r="A161" s="286">
        <v>45728</v>
      </c>
      <c r="B161" s="283">
        <v>115.74</v>
      </c>
      <c r="C161" s="283">
        <v>114.12</v>
      </c>
      <c r="D161" s="283">
        <v>116.76</v>
      </c>
      <c r="E161" s="283">
        <v>112.88</v>
      </c>
      <c r="F161" s="33">
        <v>323857500</v>
      </c>
    </row>
    <row r="162" spans="1:6" x14ac:dyDescent="0.3">
      <c r="A162" s="286">
        <v>45727</v>
      </c>
      <c r="B162" s="283">
        <v>108.76</v>
      </c>
      <c r="C162" s="283">
        <v>106.99</v>
      </c>
      <c r="D162" s="283">
        <v>112.236</v>
      </c>
      <c r="E162" s="283">
        <v>104.77</v>
      </c>
      <c r="F162" s="33">
        <v>354865700</v>
      </c>
    </row>
    <row r="163" spans="1:6" x14ac:dyDescent="0.3">
      <c r="A163" s="286">
        <v>45726</v>
      </c>
      <c r="B163" s="283">
        <v>106.98</v>
      </c>
      <c r="C163" s="283">
        <v>109.9</v>
      </c>
      <c r="D163" s="283">
        <v>111.85</v>
      </c>
      <c r="E163" s="283">
        <v>105.46</v>
      </c>
      <c r="F163" s="33">
        <v>366487400</v>
      </c>
    </row>
    <row r="164" spans="1:6" x14ac:dyDescent="0.3">
      <c r="A164" s="286">
        <v>45723</v>
      </c>
      <c r="B164" s="283">
        <v>112.69</v>
      </c>
      <c r="C164" s="283">
        <v>111.25</v>
      </c>
      <c r="D164" s="283">
        <v>113.48</v>
      </c>
      <c r="E164" s="283">
        <v>107.56</v>
      </c>
      <c r="F164" s="33">
        <v>341755500</v>
      </c>
    </row>
    <row r="165" spans="1:6" x14ac:dyDescent="0.3">
      <c r="A165" s="286">
        <v>45722</v>
      </c>
      <c r="B165" s="283">
        <v>110.57</v>
      </c>
      <c r="C165" s="283">
        <v>113.53</v>
      </c>
      <c r="D165" s="283">
        <v>115.35</v>
      </c>
      <c r="E165" s="283">
        <v>110.22</v>
      </c>
      <c r="F165" s="33">
        <v>321181900</v>
      </c>
    </row>
    <row r="166" spans="1:6" x14ac:dyDescent="0.3">
      <c r="A166" s="286">
        <v>45721</v>
      </c>
      <c r="B166" s="283">
        <v>117.3</v>
      </c>
      <c r="C166" s="283">
        <v>117.58</v>
      </c>
      <c r="D166" s="283">
        <v>118.27809999999999</v>
      </c>
      <c r="E166" s="283">
        <v>114.51</v>
      </c>
      <c r="F166" s="33">
        <v>284337900</v>
      </c>
    </row>
    <row r="167" spans="1:6" x14ac:dyDescent="0.3">
      <c r="A167" s="286">
        <v>45720</v>
      </c>
      <c r="B167" s="283">
        <v>115.99</v>
      </c>
      <c r="C167" s="283">
        <v>110.645</v>
      </c>
      <c r="D167" s="283">
        <v>119.31</v>
      </c>
      <c r="E167" s="283">
        <v>110.11</v>
      </c>
      <c r="F167" s="33">
        <v>398163300</v>
      </c>
    </row>
    <row r="168" spans="1:6" x14ac:dyDescent="0.3">
      <c r="A168" s="286">
        <v>45719</v>
      </c>
      <c r="B168" s="283">
        <v>114.06</v>
      </c>
      <c r="C168" s="283">
        <v>123.51</v>
      </c>
      <c r="D168" s="283">
        <v>123.7</v>
      </c>
      <c r="E168" s="283">
        <v>112.28</v>
      </c>
      <c r="F168" s="33">
        <v>411381400</v>
      </c>
    </row>
    <row r="169" spans="1:6" x14ac:dyDescent="0.3">
      <c r="A169" s="286">
        <v>45716</v>
      </c>
      <c r="B169" s="283">
        <v>124.92</v>
      </c>
      <c r="C169" s="283">
        <v>118.02</v>
      </c>
      <c r="D169" s="283">
        <v>125.09</v>
      </c>
      <c r="E169" s="283">
        <v>116.4</v>
      </c>
      <c r="F169" s="33">
        <v>389091100</v>
      </c>
    </row>
    <row r="170" spans="1:6" x14ac:dyDescent="0.3">
      <c r="A170" s="286">
        <v>45715</v>
      </c>
      <c r="B170" s="283">
        <v>120.15</v>
      </c>
      <c r="C170" s="283">
        <v>135</v>
      </c>
      <c r="D170" s="283">
        <v>135.01</v>
      </c>
      <c r="E170" s="283">
        <v>120.01</v>
      </c>
      <c r="F170" s="33">
        <v>443175800</v>
      </c>
    </row>
    <row r="171" spans="1:6" x14ac:dyDescent="0.3">
      <c r="A171" s="286">
        <v>45714</v>
      </c>
      <c r="B171" s="283">
        <v>131.28</v>
      </c>
      <c r="C171" s="283">
        <v>129.98500000000001</v>
      </c>
      <c r="D171" s="283">
        <v>133.72999999999999</v>
      </c>
      <c r="E171" s="283">
        <v>128.49</v>
      </c>
      <c r="F171" s="33">
        <v>322553800</v>
      </c>
    </row>
    <row r="172" spans="1:6" x14ac:dyDescent="0.3">
      <c r="A172" s="286">
        <v>45713</v>
      </c>
      <c r="B172" s="283">
        <v>126.63</v>
      </c>
      <c r="C172" s="283">
        <v>129.97999999999999</v>
      </c>
      <c r="D172" s="283">
        <v>130.19999999999999</v>
      </c>
      <c r="E172" s="283">
        <v>124.44</v>
      </c>
      <c r="F172" s="33">
        <v>271428700</v>
      </c>
    </row>
    <row r="173" spans="1:6" x14ac:dyDescent="0.3">
      <c r="A173" s="286">
        <v>45712</v>
      </c>
      <c r="B173" s="283">
        <v>130.28</v>
      </c>
      <c r="C173" s="283">
        <v>136.56</v>
      </c>
      <c r="D173" s="283">
        <v>138.59</v>
      </c>
      <c r="E173" s="283">
        <v>130.08000000000001</v>
      </c>
      <c r="F173" s="33">
        <v>251381100</v>
      </c>
    </row>
    <row r="174" spans="1:6" x14ac:dyDescent="0.3">
      <c r="A174" s="286">
        <v>45709</v>
      </c>
      <c r="B174" s="283">
        <v>134.43</v>
      </c>
      <c r="C174" s="283">
        <v>140.04</v>
      </c>
      <c r="D174" s="283">
        <v>141.46</v>
      </c>
      <c r="E174" s="283">
        <v>134.03</v>
      </c>
      <c r="F174" s="33">
        <v>228217600</v>
      </c>
    </row>
    <row r="175" spans="1:6" x14ac:dyDescent="0.3">
      <c r="A175" s="286">
        <v>45708</v>
      </c>
      <c r="B175" s="283">
        <v>140.11000000000001</v>
      </c>
      <c r="C175" s="283">
        <v>140.03</v>
      </c>
      <c r="D175" s="283">
        <v>140.66</v>
      </c>
      <c r="E175" s="283">
        <v>136.7901</v>
      </c>
      <c r="F175" s="33">
        <v>143903600</v>
      </c>
    </row>
    <row r="176" spans="1:6" x14ac:dyDescent="0.3">
      <c r="A176" s="286">
        <v>45707</v>
      </c>
      <c r="B176" s="283">
        <v>139.22999999999999</v>
      </c>
      <c r="C176" s="283">
        <v>139.51</v>
      </c>
      <c r="D176" s="283">
        <v>141.36000000000001</v>
      </c>
      <c r="E176" s="283">
        <v>137.22</v>
      </c>
      <c r="F176" s="33">
        <v>167536000</v>
      </c>
    </row>
    <row r="177" spans="1:6" x14ac:dyDescent="0.3">
      <c r="A177" s="286">
        <v>45706</v>
      </c>
      <c r="B177" s="283">
        <v>139.4</v>
      </c>
      <c r="C177" s="283">
        <v>141.27000000000001</v>
      </c>
      <c r="D177" s="283">
        <v>143.44</v>
      </c>
      <c r="E177" s="283">
        <v>137.92500000000001</v>
      </c>
      <c r="F177" s="33">
        <v>219176600</v>
      </c>
    </row>
    <row r="178" spans="1:6" x14ac:dyDescent="0.3">
      <c r="A178" s="286">
        <v>45702</v>
      </c>
      <c r="B178" s="283">
        <v>138.85</v>
      </c>
      <c r="C178" s="283">
        <v>136.47999999999999</v>
      </c>
      <c r="D178" s="283">
        <v>139.25</v>
      </c>
      <c r="E178" s="283">
        <v>135.5</v>
      </c>
      <c r="F178" s="33">
        <v>195479600</v>
      </c>
    </row>
    <row r="179" spans="1:6" x14ac:dyDescent="0.3">
      <c r="A179" s="286">
        <v>45701</v>
      </c>
      <c r="B179" s="283">
        <v>135.29</v>
      </c>
      <c r="C179" s="283">
        <v>131.55500000000001</v>
      </c>
      <c r="D179" s="283">
        <v>136.5</v>
      </c>
      <c r="E179" s="283">
        <v>131.16999999999999</v>
      </c>
      <c r="F179" s="33">
        <v>197430000</v>
      </c>
    </row>
    <row r="180" spans="1:6" x14ac:dyDescent="0.3">
      <c r="A180" s="286">
        <v>45700</v>
      </c>
      <c r="B180" s="283">
        <v>131.13999999999999</v>
      </c>
      <c r="C180" s="283">
        <v>130.02000000000001</v>
      </c>
      <c r="D180" s="283">
        <v>132.24</v>
      </c>
      <c r="E180" s="283">
        <v>129.08000000000001</v>
      </c>
      <c r="F180" s="33">
        <v>160278600</v>
      </c>
    </row>
    <row r="181" spans="1:6" x14ac:dyDescent="0.3">
      <c r="A181" s="286">
        <v>45699</v>
      </c>
      <c r="B181" s="283">
        <v>132.80000000000001</v>
      </c>
      <c r="C181" s="283">
        <v>132.58000000000001</v>
      </c>
      <c r="D181" s="283">
        <v>134.47999999999999</v>
      </c>
      <c r="E181" s="283">
        <v>131.02000000000001</v>
      </c>
      <c r="F181" s="33">
        <v>178902400</v>
      </c>
    </row>
    <row r="182" spans="1:6" x14ac:dyDescent="0.3">
      <c r="A182" s="286">
        <v>45698</v>
      </c>
      <c r="B182" s="283">
        <v>133.57</v>
      </c>
      <c r="C182" s="283">
        <v>130.09</v>
      </c>
      <c r="D182" s="283">
        <v>135</v>
      </c>
      <c r="E182" s="283">
        <v>129.96</v>
      </c>
      <c r="F182" s="33">
        <v>216989100</v>
      </c>
    </row>
    <row r="183" spans="1:6" x14ac:dyDescent="0.3">
      <c r="A183" s="286">
        <v>45695</v>
      </c>
      <c r="B183" s="283">
        <v>129.84</v>
      </c>
      <c r="C183" s="283">
        <v>129.22</v>
      </c>
      <c r="D183" s="283">
        <v>130.37</v>
      </c>
      <c r="E183" s="283">
        <v>125</v>
      </c>
      <c r="F183" s="33">
        <v>228186300</v>
      </c>
    </row>
    <row r="184" spans="1:6" x14ac:dyDescent="0.3">
      <c r="A184" s="286">
        <v>45694</v>
      </c>
      <c r="B184" s="283">
        <v>128.68</v>
      </c>
      <c r="C184" s="283">
        <v>127.42</v>
      </c>
      <c r="D184" s="283">
        <v>128.77000000000001</v>
      </c>
      <c r="E184" s="283">
        <v>125.21</v>
      </c>
      <c r="F184" s="33">
        <v>251483600</v>
      </c>
    </row>
    <row r="185" spans="1:6" x14ac:dyDescent="0.3">
      <c r="A185" s="286">
        <v>45693</v>
      </c>
      <c r="B185" s="283">
        <v>124.83</v>
      </c>
      <c r="C185" s="283">
        <v>121.76</v>
      </c>
      <c r="D185" s="283">
        <v>125</v>
      </c>
      <c r="E185" s="283">
        <v>120.76</v>
      </c>
      <c r="F185" s="33">
        <v>263110600</v>
      </c>
    </row>
    <row r="186" spans="1:6" x14ac:dyDescent="0.3">
      <c r="A186" s="286">
        <v>45692</v>
      </c>
      <c r="B186" s="283">
        <v>118.65</v>
      </c>
      <c r="C186" s="283">
        <v>116.96</v>
      </c>
      <c r="D186" s="283">
        <v>121.2</v>
      </c>
      <c r="E186" s="283">
        <v>116.7</v>
      </c>
      <c r="F186" s="33">
        <v>256550000</v>
      </c>
    </row>
    <row r="187" spans="1:6" x14ac:dyDescent="0.3">
      <c r="A187" s="286">
        <v>45691</v>
      </c>
      <c r="B187" s="283">
        <v>116.66</v>
      </c>
      <c r="C187" s="283">
        <v>114.75</v>
      </c>
      <c r="D187" s="283">
        <v>118.57</v>
      </c>
      <c r="E187" s="283">
        <v>113.01</v>
      </c>
      <c r="F187" s="33">
        <v>371235700</v>
      </c>
    </row>
    <row r="188" spans="1:6" x14ac:dyDescent="0.3">
      <c r="A188" s="286">
        <v>45688</v>
      </c>
      <c r="B188" s="283">
        <v>120.07</v>
      </c>
      <c r="C188" s="283">
        <v>123.78</v>
      </c>
      <c r="D188" s="283">
        <v>127.85</v>
      </c>
      <c r="E188" s="283">
        <v>119.19</v>
      </c>
      <c r="F188" s="33">
        <v>390372900</v>
      </c>
    </row>
    <row r="189" spans="1:6" x14ac:dyDescent="0.3">
      <c r="A189" s="286">
        <v>45687</v>
      </c>
      <c r="B189" s="283">
        <v>124.65</v>
      </c>
      <c r="C189" s="283">
        <v>123.1</v>
      </c>
      <c r="D189" s="283">
        <v>125</v>
      </c>
      <c r="E189" s="283">
        <v>118.1</v>
      </c>
      <c r="F189" s="33">
        <v>392925500</v>
      </c>
    </row>
    <row r="190" spans="1:6" x14ac:dyDescent="0.3">
      <c r="A190" s="286">
        <v>45686</v>
      </c>
      <c r="B190" s="283">
        <v>123.7</v>
      </c>
      <c r="C190" s="283">
        <v>126.5</v>
      </c>
      <c r="D190" s="283">
        <v>126.89</v>
      </c>
      <c r="E190" s="283">
        <v>120.05</v>
      </c>
      <c r="F190" s="33">
        <v>467120600</v>
      </c>
    </row>
    <row r="191" spans="1:6" x14ac:dyDescent="0.3">
      <c r="A191" s="286">
        <v>45685</v>
      </c>
      <c r="B191" s="283">
        <v>128.99</v>
      </c>
      <c r="C191" s="283">
        <v>121.81</v>
      </c>
      <c r="D191" s="283">
        <v>129</v>
      </c>
      <c r="E191" s="283">
        <v>116.25</v>
      </c>
      <c r="F191" s="33">
        <v>579666400</v>
      </c>
    </row>
    <row r="192" spans="1:6" x14ac:dyDescent="0.3">
      <c r="A192" s="286">
        <v>45684</v>
      </c>
      <c r="B192" s="283">
        <v>118.42</v>
      </c>
      <c r="C192" s="283">
        <v>124.8</v>
      </c>
      <c r="D192" s="283">
        <v>128.4</v>
      </c>
      <c r="E192" s="283">
        <v>116.7</v>
      </c>
      <c r="F192" s="33">
        <v>818830900</v>
      </c>
    </row>
    <row r="193" spans="1:6" x14ac:dyDescent="0.3">
      <c r="A193" s="286">
        <v>45681</v>
      </c>
      <c r="B193" s="283">
        <v>142.62</v>
      </c>
      <c r="C193" s="283">
        <v>148.37</v>
      </c>
      <c r="D193" s="283">
        <v>148.97</v>
      </c>
      <c r="E193" s="283">
        <v>141.88</v>
      </c>
      <c r="F193" s="33">
        <v>234657600</v>
      </c>
    </row>
    <row r="194" spans="1:6" x14ac:dyDescent="0.3">
      <c r="A194" s="286">
        <v>45680</v>
      </c>
      <c r="B194" s="283">
        <v>147.22</v>
      </c>
      <c r="C194" s="283">
        <v>145.05000000000001</v>
      </c>
      <c r="D194" s="283">
        <v>147.22999999999999</v>
      </c>
      <c r="E194" s="283">
        <v>143.72</v>
      </c>
      <c r="F194" s="33">
        <v>155915500</v>
      </c>
    </row>
    <row r="195" spans="1:6" x14ac:dyDescent="0.3">
      <c r="A195" s="286">
        <v>45679</v>
      </c>
      <c r="B195" s="283">
        <v>147.07</v>
      </c>
      <c r="C195" s="283">
        <v>144.66</v>
      </c>
      <c r="D195" s="283">
        <v>147.79</v>
      </c>
      <c r="E195" s="283">
        <v>143.66999999999999</v>
      </c>
      <c r="F195" s="33">
        <v>237651400</v>
      </c>
    </row>
    <row r="196" spans="1:6" x14ac:dyDescent="0.3">
      <c r="A196" s="286">
        <v>45678</v>
      </c>
      <c r="B196" s="283">
        <v>140.83000000000001</v>
      </c>
      <c r="C196" s="283">
        <v>139.16</v>
      </c>
      <c r="D196" s="283">
        <v>141.83000000000001</v>
      </c>
      <c r="E196" s="283">
        <v>137.09</v>
      </c>
      <c r="F196" s="33">
        <v>197749000</v>
      </c>
    </row>
    <row r="197" spans="1:6" x14ac:dyDescent="0.3">
      <c r="A197" s="286">
        <v>45674</v>
      </c>
      <c r="B197" s="283">
        <v>137.71</v>
      </c>
      <c r="C197" s="283">
        <v>136.69</v>
      </c>
      <c r="D197" s="283">
        <v>138.5</v>
      </c>
      <c r="E197" s="283">
        <v>135.4649</v>
      </c>
      <c r="F197" s="33">
        <v>201188800</v>
      </c>
    </row>
    <row r="198" spans="1:6" x14ac:dyDescent="0.3">
      <c r="A198" s="286">
        <v>45673</v>
      </c>
      <c r="B198" s="283">
        <v>133.57</v>
      </c>
      <c r="C198" s="283">
        <v>138.63999999999999</v>
      </c>
      <c r="D198" s="283">
        <v>138.75</v>
      </c>
      <c r="E198" s="283">
        <v>133.49</v>
      </c>
      <c r="F198" s="33">
        <v>209235600</v>
      </c>
    </row>
    <row r="199" spans="1:6" x14ac:dyDescent="0.3">
      <c r="A199" s="286">
        <v>45672</v>
      </c>
      <c r="B199" s="283">
        <v>136.24</v>
      </c>
      <c r="C199" s="283">
        <v>133.65</v>
      </c>
      <c r="D199" s="283">
        <v>136.44999999999999</v>
      </c>
      <c r="E199" s="283">
        <v>131.29</v>
      </c>
      <c r="F199" s="33">
        <v>185217300</v>
      </c>
    </row>
    <row r="200" spans="1:6" x14ac:dyDescent="0.3">
      <c r="A200" s="286">
        <v>45671</v>
      </c>
      <c r="B200" s="283">
        <v>131.76</v>
      </c>
      <c r="C200" s="283">
        <v>136.05000000000001</v>
      </c>
      <c r="D200" s="283">
        <v>136.38</v>
      </c>
      <c r="E200" s="283">
        <v>130.05000000000001</v>
      </c>
      <c r="F200" s="33">
        <v>195590500</v>
      </c>
    </row>
    <row r="201" spans="1:6" x14ac:dyDescent="0.3">
      <c r="A201" s="286">
        <v>45670</v>
      </c>
      <c r="B201" s="283">
        <v>133.22999999999999</v>
      </c>
      <c r="C201" s="283">
        <v>129.99</v>
      </c>
      <c r="D201" s="283">
        <v>133.49</v>
      </c>
      <c r="E201" s="283">
        <v>129.51</v>
      </c>
      <c r="F201" s="33">
        <v>204808900</v>
      </c>
    </row>
    <row r="202" spans="1:6" x14ac:dyDescent="0.3">
      <c r="A202" s="286">
        <v>45667</v>
      </c>
      <c r="B202" s="283">
        <v>135.91</v>
      </c>
      <c r="C202" s="283">
        <v>137.44999999999999</v>
      </c>
      <c r="D202" s="283">
        <v>139.91999999999999</v>
      </c>
      <c r="E202" s="283">
        <v>134.22</v>
      </c>
      <c r="F202" s="33">
        <v>207602500</v>
      </c>
    </row>
    <row r="203" spans="1:6" x14ac:dyDescent="0.3">
      <c r="A203" s="286">
        <v>45665</v>
      </c>
      <c r="B203" s="283">
        <v>140.11000000000001</v>
      </c>
      <c r="C203" s="283">
        <v>142.58000000000001</v>
      </c>
      <c r="D203" s="283">
        <v>143.94999999999999</v>
      </c>
      <c r="E203" s="283">
        <v>137.56</v>
      </c>
      <c r="F203" s="33">
        <v>227349900</v>
      </c>
    </row>
    <row r="204" spans="1:6" x14ac:dyDescent="0.3">
      <c r="A204" s="286">
        <v>45664</v>
      </c>
      <c r="B204" s="283">
        <v>140.13999999999999</v>
      </c>
      <c r="C204" s="283">
        <v>153.03</v>
      </c>
      <c r="D204" s="283">
        <v>153.13</v>
      </c>
      <c r="E204" s="283">
        <v>140.01</v>
      </c>
      <c r="F204" s="33">
        <v>351782200</v>
      </c>
    </row>
    <row r="205" spans="1:6" x14ac:dyDescent="0.3">
      <c r="A205" s="286">
        <v>45663</v>
      </c>
      <c r="B205" s="283">
        <v>149.43</v>
      </c>
      <c r="C205" s="283">
        <v>148.59</v>
      </c>
      <c r="D205" s="283">
        <v>152.15600000000001</v>
      </c>
      <c r="E205" s="283">
        <v>147.8201</v>
      </c>
      <c r="F205" s="33">
        <v>265377400</v>
      </c>
    </row>
    <row r="206" spans="1:6" x14ac:dyDescent="0.3">
      <c r="A206" s="286">
        <v>45660</v>
      </c>
      <c r="B206" s="283">
        <v>144.47</v>
      </c>
      <c r="C206" s="283">
        <v>140.01</v>
      </c>
      <c r="D206" s="283">
        <v>144.9</v>
      </c>
      <c r="E206" s="283">
        <v>139.72999999999999</v>
      </c>
      <c r="F206" s="33">
        <v>229322500</v>
      </c>
    </row>
    <row r="207" spans="1:6" x14ac:dyDescent="0.3">
      <c r="A207" s="286">
        <v>45659</v>
      </c>
      <c r="B207" s="283">
        <v>138.31</v>
      </c>
      <c r="C207" s="283">
        <v>136</v>
      </c>
      <c r="D207" s="283">
        <v>138.88</v>
      </c>
      <c r="E207" s="283">
        <v>134.63</v>
      </c>
      <c r="F207" s="33">
        <v>198247200</v>
      </c>
    </row>
    <row r="208" spans="1:6" x14ac:dyDescent="0.3">
      <c r="A208" s="286">
        <v>45657</v>
      </c>
      <c r="B208" s="283">
        <v>134.29</v>
      </c>
      <c r="C208" s="283">
        <v>138.03</v>
      </c>
      <c r="D208" s="283">
        <v>138.07</v>
      </c>
      <c r="E208" s="283">
        <v>133.83000000000001</v>
      </c>
      <c r="F208" s="33">
        <v>155659200</v>
      </c>
    </row>
    <row r="209" spans="1:6" x14ac:dyDescent="0.3">
      <c r="A209" s="286">
        <v>45656</v>
      </c>
      <c r="B209" s="283">
        <v>137.49</v>
      </c>
      <c r="C209" s="283">
        <v>134.83000000000001</v>
      </c>
      <c r="D209" s="283">
        <v>140.27000000000001</v>
      </c>
      <c r="E209" s="283">
        <v>134.02000000000001</v>
      </c>
      <c r="F209" s="33">
        <v>167734700</v>
      </c>
    </row>
    <row r="210" spans="1:6" x14ac:dyDescent="0.3">
      <c r="A210" s="286">
        <v>45653</v>
      </c>
      <c r="B210" s="283">
        <v>137.01</v>
      </c>
      <c r="C210" s="283">
        <v>138.55000000000001</v>
      </c>
      <c r="D210" s="283">
        <v>139.02000000000001</v>
      </c>
      <c r="E210" s="283">
        <v>134.71</v>
      </c>
      <c r="F210" s="33">
        <v>170582600</v>
      </c>
    </row>
    <row r="211" spans="1:6" x14ac:dyDescent="0.3">
      <c r="A211" s="286">
        <v>45652</v>
      </c>
      <c r="B211" s="283">
        <v>139.93</v>
      </c>
      <c r="C211" s="283">
        <v>139.69999999999999</v>
      </c>
      <c r="D211" s="283">
        <v>140.85</v>
      </c>
      <c r="E211" s="283">
        <v>137.72999999999999</v>
      </c>
      <c r="F211" s="33">
        <v>116519100</v>
      </c>
    </row>
    <row r="212" spans="1:6" x14ac:dyDescent="0.3">
      <c r="A212" s="286">
        <v>45650</v>
      </c>
      <c r="B212" s="283">
        <v>140.22</v>
      </c>
      <c r="C212" s="283">
        <v>140</v>
      </c>
      <c r="D212" s="283">
        <v>141.9</v>
      </c>
      <c r="E212" s="283">
        <v>138.65</v>
      </c>
      <c r="F212" s="33">
        <v>105157000</v>
      </c>
    </row>
    <row r="213" spans="1:6" x14ac:dyDescent="0.3">
      <c r="A213" s="286">
        <v>45649</v>
      </c>
      <c r="B213" s="283">
        <v>139.66999999999999</v>
      </c>
      <c r="C213" s="283">
        <v>136.28</v>
      </c>
      <c r="D213" s="283">
        <v>139.79</v>
      </c>
      <c r="E213" s="283">
        <v>135.12010000000001</v>
      </c>
      <c r="F213" s="33">
        <v>176053500</v>
      </c>
    </row>
    <row r="214" spans="1:6" x14ac:dyDescent="0.3">
      <c r="A214" s="286">
        <v>45646</v>
      </c>
      <c r="B214" s="283">
        <v>134.69999999999999</v>
      </c>
      <c r="C214" s="283">
        <v>129.81</v>
      </c>
      <c r="D214" s="283">
        <v>135.28</v>
      </c>
      <c r="E214" s="283">
        <v>128.22</v>
      </c>
      <c r="F214" s="33">
        <v>306528600</v>
      </c>
    </row>
    <row r="215" spans="1:6" x14ac:dyDescent="0.3">
      <c r="A215" s="286">
        <v>45645</v>
      </c>
      <c r="B215" s="283">
        <v>130.68</v>
      </c>
      <c r="C215" s="283">
        <v>131.76</v>
      </c>
      <c r="D215" s="283">
        <v>134.03</v>
      </c>
      <c r="E215" s="283">
        <v>129.55000000000001</v>
      </c>
      <c r="F215" s="33">
        <v>209719200</v>
      </c>
    </row>
    <row r="216" spans="1:6" x14ac:dyDescent="0.3">
      <c r="A216" s="286">
        <v>45644</v>
      </c>
      <c r="B216" s="283">
        <v>128.91</v>
      </c>
      <c r="C216" s="283">
        <v>133.86000000000001</v>
      </c>
      <c r="D216" s="283">
        <v>136.69999999999999</v>
      </c>
      <c r="E216" s="283">
        <v>128.28</v>
      </c>
      <c r="F216" s="33">
        <v>277444500</v>
      </c>
    </row>
    <row r="217" spans="1:6" x14ac:dyDescent="0.3">
      <c r="A217" s="286">
        <v>45643</v>
      </c>
      <c r="B217" s="283">
        <v>130.38999999999999</v>
      </c>
      <c r="C217" s="283">
        <v>129.09</v>
      </c>
      <c r="D217" s="283">
        <v>131.59</v>
      </c>
      <c r="E217" s="283">
        <v>126.86</v>
      </c>
      <c r="F217" s="33">
        <v>259410300</v>
      </c>
    </row>
    <row r="218" spans="1:6" x14ac:dyDescent="0.3">
      <c r="A218" s="286">
        <v>45642</v>
      </c>
      <c r="B218" s="283">
        <v>132</v>
      </c>
      <c r="C218" s="283">
        <v>134.18</v>
      </c>
      <c r="D218" s="283">
        <v>134.4</v>
      </c>
      <c r="E218" s="283">
        <v>130.41999999999999</v>
      </c>
      <c r="F218" s="33">
        <v>237951100</v>
      </c>
    </row>
    <row r="219" spans="1:6" x14ac:dyDescent="0.3">
      <c r="A219" s="286">
        <v>45639</v>
      </c>
      <c r="B219" s="283">
        <v>134.25</v>
      </c>
      <c r="C219" s="283">
        <v>138.94</v>
      </c>
      <c r="D219" s="283">
        <v>139.6</v>
      </c>
      <c r="E219" s="283">
        <v>132.54</v>
      </c>
      <c r="F219" s="33">
        <v>231514900</v>
      </c>
    </row>
    <row r="220" spans="1:6" x14ac:dyDescent="0.3">
      <c r="A220" s="286">
        <v>45638</v>
      </c>
      <c r="B220" s="283">
        <v>137.34</v>
      </c>
      <c r="C220" s="283">
        <v>137.08000000000001</v>
      </c>
      <c r="D220" s="283">
        <v>138.44</v>
      </c>
      <c r="E220" s="283">
        <v>135.80000000000001</v>
      </c>
      <c r="F220" s="33">
        <v>159211400</v>
      </c>
    </row>
    <row r="221" spans="1:6" x14ac:dyDescent="0.3">
      <c r="A221" s="286">
        <v>45637</v>
      </c>
      <c r="B221" s="283">
        <v>139.31</v>
      </c>
      <c r="C221" s="283">
        <v>137.36000000000001</v>
      </c>
      <c r="D221" s="283">
        <v>140.16999999999999</v>
      </c>
      <c r="E221" s="283">
        <v>135.21</v>
      </c>
      <c r="F221" s="33">
        <v>184905200</v>
      </c>
    </row>
    <row r="222" spans="1:6" x14ac:dyDescent="0.3">
      <c r="A222" s="286">
        <v>45636</v>
      </c>
      <c r="B222" s="283">
        <v>135.07</v>
      </c>
      <c r="C222" s="283">
        <v>139.01</v>
      </c>
      <c r="D222" s="283">
        <v>141.82</v>
      </c>
      <c r="E222" s="283">
        <v>133.79</v>
      </c>
      <c r="F222" s="33">
        <v>210020900</v>
      </c>
    </row>
    <row r="223" spans="1:6" x14ac:dyDescent="0.3">
      <c r="A223" s="286">
        <v>45635</v>
      </c>
      <c r="B223" s="283">
        <v>138.81</v>
      </c>
      <c r="C223" s="283">
        <v>138.97</v>
      </c>
      <c r="D223" s="283">
        <v>139.94999999999999</v>
      </c>
      <c r="E223" s="283">
        <v>137.13</v>
      </c>
      <c r="F223" s="33">
        <v>189308600</v>
      </c>
    </row>
    <row r="224" spans="1:6" x14ac:dyDescent="0.3">
      <c r="A224" s="286">
        <v>45632</v>
      </c>
      <c r="B224" s="283">
        <v>142.44</v>
      </c>
      <c r="C224" s="283">
        <v>144.6</v>
      </c>
      <c r="D224" s="283">
        <v>145.69999999999999</v>
      </c>
      <c r="E224" s="283">
        <v>141.31</v>
      </c>
      <c r="F224" s="33">
        <v>188505600</v>
      </c>
    </row>
    <row r="225" spans="1:6" x14ac:dyDescent="0.3">
      <c r="A225" s="286">
        <v>45631</v>
      </c>
      <c r="B225" s="283">
        <v>145.06</v>
      </c>
      <c r="C225" s="283">
        <v>145.11000000000001</v>
      </c>
      <c r="D225" s="283">
        <v>146.54</v>
      </c>
      <c r="E225" s="283">
        <v>143.94999999999999</v>
      </c>
      <c r="F225" s="33">
        <v>172621200</v>
      </c>
    </row>
    <row r="226" spans="1:6" x14ac:dyDescent="0.3">
      <c r="A226" s="286">
        <v>45630</v>
      </c>
      <c r="B226" s="283">
        <v>145.13999999999999</v>
      </c>
      <c r="C226" s="283">
        <v>141.995</v>
      </c>
      <c r="D226" s="283">
        <v>145.79</v>
      </c>
      <c r="E226" s="283">
        <v>140.29</v>
      </c>
      <c r="F226" s="33">
        <v>231224300</v>
      </c>
    </row>
    <row r="227" spans="1:6" x14ac:dyDescent="0.3">
      <c r="A227" s="286">
        <v>45629</v>
      </c>
      <c r="B227" s="283">
        <v>140.26</v>
      </c>
      <c r="C227" s="283">
        <v>138.26</v>
      </c>
      <c r="D227" s="283">
        <v>140.54</v>
      </c>
      <c r="E227" s="283">
        <v>137.94999999999999</v>
      </c>
      <c r="F227" s="33">
        <v>164414000</v>
      </c>
    </row>
    <row r="228" spans="1:6" x14ac:dyDescent="0.3">
      <c r="A228" s="286">
        <v>45628</v>
      </c>
      <c r="B228" s="283">
        <v>138.63</v>
      </c>
      <c r="C228" s="283">
        <v>138.83000000000001</v>
      </c>
      <c r="D228" s="283">
        <v>140.44999999999999</v>
      </c>
      <c r="E228" s="283">
        <v>137.82499999999999</v>
      </c>
      <c r="F228" s="33">
        <v>171682800</v>
      </c>
    </row>
    <row r="229" spans="1:6" x14ac:dyDescent="0.3">
      <c r="A229" s="286">
        <v>45625</v>
      </c>
      <c r="B229" s="283">
        <v>138.25</v>
      </c>
      <c r="C229" s="283">
        <v>136.78</v>
      </c>
      <c r="D229" s="283">
        <v>139.35</v>
      </c>
      <c r="E229" s="283">
        <v>136.05000000000001</v>
      </c>
      <c r="F229" s="33">
        <v>141863200</v>
      </c>
    </row>
    <row r="230" spans="1:6" x14ac:dyDescent="0.3">
      <c r="A230" s="286">
        <v>45623</v>
      </c>
      <c r="B230" s="283">
        <v>135.34</v>
      </c>
      <c r="C230" s="283">
        <v>135.01</v>
      </c>
      <c r="D230" s="283">
        <v>137.22</v>
      </c>
      <c r="E230" s="283">
        <v>131.80000000000001</v>
      </c>
      <c r="F230" s="33">
        <v>226370900</v>
      </c>
    </row>
    <row r="231" spans="1:6" x14ac:dyDescent="0.3">
      <c r="A231" s="286">
        <v>45622</v>
      </c>
      <c r="B231" s="283">
        <v>136.91999999999999</v>
      </c>
      <c r="C231" s="283">
        <v>137.69999999999999</v>
      </c>
      <c r="D231" s="283">
        <v>139.30000000000001</v>
      </c>
      <c r="E231" s="283">
        <v>135.66999999999999</v>
      </c>
      <c r="F231" s="33">
        <v>190287700</v>
      </c>
    </row>
    <row r="232" spans="1:6" x14ac:dyDescent="0.3">
      <c r="A232" s="286">
        <v>45621</v>
      </c>
      <c r="B232" s="283">
        <v>136.02000000000001</v>
      </c>
      <c r="C232" s="283">
        <v>141.99</v>
      </c>
      <c r="D232" s="283">
        <v>142.05000000000001</v>
      </c>
      <c r="E232" s="283">
        <v>135.82</v>
      </c>
      <c r="F232" s="33">
        <v>344941900</v>
      </c>
    </row>
    <row r="233" spans="1:6" x14ac:dyDescent="0.3">
      <c r="A233" s="286">
        <v>45618</v>
      </c>
      <c r="B233" s="283">
        <v>141.94999999999999</v>
      </c>
      <c r="C233" s="283">
        <v>145.93</v>
      </c>
      <c r="D233" s="283">
        <v>147.16</v>
      </c>
      <c r="E233" s="283">
        <v>141.1</v>
      </c>
      <c r="F233" s="33">
        <v>236406200</v>
      </c>
    </row>
    <row r="234" spans="1:6" x14ac:dyDescent="0.3">
      <c r="A234" s="286">
        <v>45617</v>
      </c>
      <c r="B234" s="283">
        <v>146.66999999999999</v>
      </c>
      <c r="C234" s="283">
        <v>149.35</v>
      </c>
      <c r="D234" s="283">
        <v>152.88999999999999</v>
      </c>
      <c r="E234" s="283">
        <v>140.69999999999999</v>
      </c>
      <c r="F234" s="33">
        <v>400946600</v>
      </c>
    </row>
    <row r="235" spans="1:6" x14ac:dyDescent="0.3">
      <c r="A235" s="286">
        <v>45616</v>
      </c>
      <c r="B235" s="283">
        <v>145.88999999999999</v>
      </c>
      <c r="C235" s="283">
        <v>147.41</v>
      </c>
      <c r="D235" s="283">
        <v>147.56</v>
      </c>
      <c r="E235" s="283">
        <v>142.72999999999999</v>
      </c>
      <c r="F235" s="33">
        <v>309871700</v>
      </c>
    </row>
    <row r="236" spans="1:6" x14ac:dyDescent="0.3">
      <c r="A236" s="286">
        <v>45615</v>
      </c>
      <c r="B236" s="283">
        <v>147.01</v>
      </c>
      <c r="C236" s="283">
        <v>141.32</v>
      </c>
      <c r="D236" s="283">
        <v>147.13</v>
      </c>
      <c r="E236" s="283">
        <v>140.99</v>
      </c>
      <c r="F236" s="33">
        <v>227834900</v>
      </c>
    </row>
    <row r="237" spans="1:6" x14ac:dyDescent="0.3">
      <c r="A237" s="286">
        <v>45614</v>
      </c>
      <c r="B237" s="283">
        <v>140.15</v>
      </c>
      <c r="C237" s="283">
        <v>139.5</v>
      </c>
      <c r="D237" s="283">
        <v>141.55000000000001</v>
      </c>
      <c r="E237" s="283">
        <v>137.15</v>
      </c>
      <c r="F237" s="33">
        <v>221866000</v>
      </c>
    </row>
    <row r="238" spans="1:6" x14ac:dyDescent="0.3">
      <c r="A238" s="286">
        <v>45611</v>
      </c>
      <c r="B238" s="283">
        <v>141.97999999999999</v>
      </c>
      <c r="C238" s="283">
        <v>144.87</v>
      </c>
      <c r="D238" s="283">
        <v>145.24</v>
      </c>
      <c r="E238" s="283">
        <v>140.08000000000001</v>
      </c>
      <c r="F238" s="33">
        <v>250132900</v>
      </c>
    </row>
    <row r="239" spans="1:6" x14ac:dyDescent="0.3">
      <c r="A239" s="286">
        <v>45610</v>
      </c>
      <c r="B239" s="283">
        <v>146.76</v>
      </c>
      <c r="C239" s="283">
        <v>147.63999999999999</v>
      </c>
      <c r="D239" s="283">
        <v>149</v>
      </c>
      <c r="E239" s="283">
        <v>145.55000000000001</v>
      </c>
      <c r="F239" s="33">
        <v>194463300</v>
      </c>
    </row>
    <row r="240" spans="1:6" x14ac:dyDescent="0.3">
      <c r="A240" s="286">
        <v>45609</v>
      </c>
      <c r="B240" s="283">
        <v>146.27000000000001</v>
      </c>
      <c r="C240" s="283">
        <v>149.07</v>
      </c>
      <c r="D240" s="283">
        <v>149.33000000000001</v>
      </c>
      <c r="E240" s="283">
        <v>145.9</v>
      </c>
      <c r="F240" s="33">
        <v>191903300</v>
      </c>
    </row>
    <row r="241" spans="1:6" x14ac:dyDescent="0.3">
      <c r="A241" s="286">
        <v>45608</v>
      </c>
      <c r="B241" s="283">
        <v>148.29</v>
      </c>
      <c r="C241" s="283">
        <v>146.78</v>
      </c>
      <c r="D241" s="283">
        <v>149.65</v>
      </c>
      <c r="E241" s="283">
        <v>146.01</v>
      </c>
      <c r="F241" s="33">
        <v>198634700</v>
      </c>
    </row>
    <row r="242" spans="1:6" x14ac:dyDescent="0.3">
      <c r="A242" s="286">
        <v>45607</v>
      </c>
      <c r="B242" s="283">
        <v>145.26</v>
      </c>
      <c r="C242" s="283">
        <v>148.68</v>
      </c>
      <c r="D242" s="283">
        <v>148.85</v>
      </c>
      <c r="E242" s="283">
        <v>143.57</v>
      </c>
      <c r="F242" s="33">
        <v>182325600</v>
      </c>
    </row>
    <row r="243" spans="1:6" x14ac:dyDescent="0.3">
      <c r="A243" s="286">
        <v>45604</v>
      </c>
      <c r="B243" s="283">
        <v>147.63</v>
      </c>
      <c r="C243" s="283">
        <v>148.77000000000001</v>
      </c>
      <c r="D243" s="283">
        <v>149.77000000000001</v>
      </c>
      <c r="E243" s="283">
        <v>146.26</v>
      </c>
      <c r="F243" s="33">
        <v>175665800</v>
      </c>
    </row>
    <row r="244" spans="1:6" x14ac:dyDescent="0.3">
      <c r="A244" s="286">
        <v>45603</v>
      </c>
      <c r="B244" s="283">
        <v>148.88</v>
      </c>
      <c r="C244" s="283">
        <v>146.38999999999999</v>
      </c>
      <c r="D244" s="283">
        <v>148.93</v>
      </c>
      <c r="E244" s="283">
        <v>146.16999999999999</v>
      </c>
      <c r="F244" s="33">
        <v>207323300</v>
      </c>
    </row>
    <row r="245" spans="1:6" x14ac:dyDescent="0.3">
      <c r="A245" s="286">
        <v>45602</v>
      </c>
      <c r="B245" s="283">
        <v>145.61000000000001</v>
      </c>
      <c r="C245" s="283">
        <v>142.96</v>
      </c>
      <c r="D245" s="283">
        <v>146.49</v>
      </c>
      <c r="E245" s="283">
        <v>141.96</v>
      </c>
      <c r="F245" s="33">
        <v>242043900</v>
      </c>
    </row>
    <row r="246" spans="1:6" x14ac:dyDescent="0.3">
      <c r="A246" s="286">
        <v>45601</v>
      </c>
      <c r="B246" s="283">
        <v>139.91</v>
      </c>
      <c r="C246" s="283">
        <v>137.44999999999999</v>
      </c>
      <c r="D246" s="283">
        <v>140.37010000000001</v>
      </c>
      <c r="E246" s="283">
        <v>137.33000000000001</v>
      </c>
      <c r="F246" s="33">
        <v>160537400</v>
      </c>
    </row>
    <row r="247" spans="1:6" x14ac:dyDescent="0.3">
      <c r="A247" s="286">
        <v>45600</v>
      </c>
      <c r="B247" s="283">
        <v>136.05000000000001</v>
      </c>
      <c r="C247" s="283">
        <v>137.21</v>
      </c>
      <c r="D247" s="283">
        <v>138.96</v>
      </c>
      <c r="E247" s="283">
        <v>135.57</v>
      </c>
      <c r="F247" s="33">
        <v>187528200</v>
      </c>
    </row>
    <row r="248" spans="1:6" x14ac:dyDescent="0.3">
      <c r="A248" s="286">
        <v>45597</v>
      </c>
      <c r="B248" s="283">
        <v>135.4</v>
      </c>
      <c r="C248" s="283">
        <v>134.69999999999999</v>
      </c>
      <c r="D248" s="283">
        <v>137.31</v>
      </c>
      <c r="E248" s="283">
        <v>134.57</v>
      </c>
      <c r="F248" s="33">
        <v>207127800</v>
      </c>
    </row>
    <row r="249" spans="1:6" x14ac:dyDescent="0.3">
      <c r="A249" s="286">
        <v>45596</v>
      </c>
      <c r="B249" s="283">
        <v>132.76</v>
      </c>
      <c r="C249" s="283">
        <v>137.6</v>
      </c>
      <c r="D249" s="283">
        <v>137.61000000000001</v>
      </c>
      <c r="E249" s="283">
        <v>132.11060000000001</v>
      </c>
      <c r="F249" s="33">
        <v>270039600</v>
      </c>
    </row>
    <row r="250" spans="1:6" x14ac:dyDescent="0.3">
      <c r="A250" s="286">
        <v>45595</v>
      </c>
      <c r="B250" s="283">
        <v>139.33500000000001</v>
      </c>
      <c r="C250" s="283">
        <v>139.54</v>
      </c>
      <c r="D250" s="283">
        <v>140.33000000000001</v>
      </c>
      <c r="E250" s="283">
        <v>136.81</v>
      </c>
      <c r="F250" s="33">
        <v>179418100</v>
      </c>
    </row>
    <row r="251" spans="1:6" x14ac:dyDescent="0.3">
      <c r="A251" s="286">
        <v>45594</v>
      </c>
      <c r="B251" s="283">
        <v>141.25</v>
      </c>
      <c r="C251" s="283">
        <v>140.285</v>
      </c>
      <c r="D251" s="283">
        <v>142.25980000000001</v>
      </c>
      <c r="E251" s="283">
        <v>138.9</v>
      </c>
      <c r="F251" s="33">
        <v>157593600</v>
      </c>
    </row>
    <row r="252" spans="1:6" x14ac:dyDescent="0.3">
      <c r="A252" s="286">
        <v>45593</v>
      </c>
      <c r="B252" s="283">
        <v>140.52000000000001</v>
      </c>
      <c r="C252" s="283">
        <v>143</v>
      </c>
      <c r="D252" s="283">
        <v>143.13999999999999</v>
      </c>
      <c r="E252" s="283">
        <v>140.05000000000001</v>
      </c>
      <c r="F252" s="33">
        <v>173586700</v>
      </c>
    </row>
    <row r="253" spans="1:6" x14ac:dyDescent="0.3">
      <c r="A253" s="286">
        <v>45590</v>
      </c>
      <c r="B253" s="283">
        <v>141.54</v>
      </c>
      <c r="C253" s="283">
        <v>140.93</v>
      </c>
      <c r="D253" s="283">
        <v>144.13</v>
      </c>
      <c r="E253" s="283">
        <v>140.80000000000001</v>
      </c>
      <c r="F253" s="33">
        <v>205122100</v>
      </c>
    </row>
    <row r="254" spans="1:6" x14ac:dyDescent="0.3">
      <c r="A254" s="286">
        <v>45589</v>
      </c>
      <c r="B254" s="283">
        <v>140.41</v>
      </c>
      <c r="C254" s="283">
        <v>140.82</v>
      </c>
      <c r="D254" s="283">
        <v>141.35</v>
      </c>
      <c r="E254" s="283">
        <v>138.46</v>
      </c>
      <c r="F254" s="33">
        <v>172354900</v>
      </c>
    </row>
    <row r="255" spans="1:6" x14ac:dyDescent="0.3">
      <c r="A255" s="286">
        <v>45588</v>
      </c>
      <c r="B255" s="283">
        <v>139.56</v>
      </c>
      <c r="C255" s="283">
        <v>142.03</v>
      </c>
      <c r="D255" s="283">
        <v>142.43</v>
      </c>
      <c r="E255" s="283">
        <v>137.46</v>
      </c>
      <c r="F255" s="33">
        <v>285930000</v>
      </c>
    </row>
    <row r="256" spans="1:6" x14ac:dyDescent="0.3">
      <c r="A256" s="286">
        <v>45587</v>
      </c>
      <c r="B256" s="283">
        <v>143.59</v>
      </c>
      <c r="C256" s="283">
        <v>142.91</v>
      </c>
      <c r="D256" s="283">
        <v>144.41999999999999</v>
      </c>
      <c r="E256" s="283">
        <v>141.78</v>
      </c>
      <c r="F256" s="33">
        <v>226311600</v>
      </c>
    </row>
    <row r="257" spans="1:6" x14ac:dyDescent="0.3">
      <c r="A257" s="286">
        <v>45586</v>
      </c>
      <c r="B257" s="283">
        <v>143.71</v>
      </c>
      <c r="C257" s="283">
        <v>138.13</v>
      </c>
      <c r="D257" s="283">
        <v>143.71</v>
      </c>
      <c r="E257" s="283">
        <v>138</v>
      </c>
      <c r="F257" s="33">
        <v>264554500</v>
      </c>
    </row>
    <row r="258" spans="1:6" x14ac:dyDescent="0.3">
      <c r="A258" s="90" t="s">
        <v>709</v>
      </c>
      <c r="B258" s="283">
        <v>138</v>
      </c>
      <c r="C258" s="287">
        <v>138.66</v>
      </c>
      <c r="D258" s="287">
        <v>138.9</v>
      </c>
      <c r="E258" s="287">
        <v>137.28</v>
      </c>
      <c r="F258" s="288" t="s">
        <v>710</v>
      </c>
    </row>
    <row r="259" spans="1:6" x14ac:dyDescent="0.3">
      <c r="A259" s="90" t="s">
        <v>711</v>
      </c>
      <c r="B259" s="279">
        <v>136.38999999999999</v>
      </c>
      <c r="C259" s="287">
        <v>139.34</v>
      </c>
      <c r="D259" s="287">
        <v>140.88999999999999</v>
      </c>
      <c r="E259" s="287">
        <v>136.87</v>
      </c>
      <c r="F259" s="288" t="s">
        <v>712</v>
      </c>
    </row>
    <row r="260" spans="1:6" x14ac:dyDescent="0.3">
      <c r="A260" s="90" t="s">
        <v>713</v>
      </c>
      <c r="B260" s="279">
        <v>135.72</v>
      </c>
      <c r="C260" s="287">
        <v>133.97999999999999</v>
      </c>
      <c r="D260" s="287">
        <v>136.62</v>
      </c>
      <c r="E260" s="287">
        <v>131.58000000000001</v>
      </c>
      <c r="F260" s="288" t="s">
        <v>714</v>
      </c>
    </row>
    <row r="261" spans="1:6" x14ac:dyDescent="0.3">
      <c r="A261" s="90" t="s">
        <v>715</v>
      </c>
      <c r="B261" s="279">
        <v>131.6</v>
      </c>
      <c r="C261" s="287">
        <v>137.87</v>
      </c>
      <c r="D261" s="287">
        <v>138.57</v>
      </c>
      <c r="E261" s="287">
        <v>128.74</v>
      </c>
      <c r="F261" s="288" t="s">
        <v>716</v>
      </c>
    </row>
    <row r="262" spans="1:6" x14ac:dyDescent="0.3">
      <c r="A262" s="90" t="s">
        <v>717</v>
      </c>
      <c r="B262" s="279">
        <v>138.07</v>
      </c>
      <c r="C262" s="287">
        <v>136.47</v>
      </c>
      <c r="D262" s="287">
        <v>139.6</v>
      </c>
      <c r="E262" s="287">
        <v>136.30000000000001</v>
      </c>
      <c r="F262" s="288" t="s">
        <v>718</v>
      </c>
    </row>
    <row r="263" spans="1:6" x14ac:dyDescent="0.3">
      <c r="A263" s="286">
        <v>45606</v>
      </c>
      <c r="B263" s="279">
        <v>134.80000000000001</v>
      </c>
      <c r="C263" s="287">
        <v>134.01</v>
      </c>
      <c r="D263" s="287">
        <v>135.78</v>
      </c>
      <c r="E263" s="287">
        <v>133.66</v>
      </c>
      <c r="F263" s="288" t="s">
        <v>719</v>
      </c>
    </row>
    <row r="264" spans="1:6" x14ac:dyDescent="0.3">
      <c r="A264" s="286">
        <v>45575</v>
      </c>
      <c r="B264" s="279">
        <v>134.81</v>
      </c>
      <c r="C264" s="287">
        <v>131.91</v>
      </c>
      <c r="D264" s="287">
        <v>135</v>
      </c>
      <c r="E264" s="287">
        <v>131</v>
      </c>
      <c r="F264" s="288" t="s">
        <v>720</v>
      </c>
    </row>
    <row r="265" spans="1:6" x14ac:dyDescent="0.3">
      <c r="A265" s="286">
        <v>45545</v>
      </c>
      <c r="B265" s="279">
        <v>132.65</v>
      </c>
      <c r="C265" s="287">
        <v>134.11000000000001</v>
      </c>
      <c r="D265" s="287">
        <v>134.52000000000001</v>
      </c>
      <c r="E265" s="287">
        <v>131.38</v>
      </c>
      <c r="F265" s="288" t="s">
        <v>721</v>
      </c>
    </row>
    <row r="266" spans="1:6" x14ac:dyDescent="0.3">
      <c r="A266" s="286">
        <v>45514</v>
      </c>
      <c r="B266" s="279">
        <v>132.88999999999999</v>
      </c>
      <c r="C266" s="287">
        <v>130.26</v>
      </c>
      <c r="D266" s="287">
        <v>133.47999999999999</v>
      </c>
      <c r="E266" s="287">
        <v>129.41999999999999</v>
      </c>
      <c r="F266" s="288" t="s">
        <v>722</v>
      </c>
    </row>
    <row r="267" spans="1:6" x14ac:dyDescent="0.3">
      <c r="A267" s="286">
        <v>45483</v>
      </c>
      <c r="B267" s="279">
        <v>127.72</v>
      </c>
      <c r="C267" s="287">
        <v>124.99</v>
      </c>
      <c r="D267" s="287">
        <v>130.63999999999999</v>
      </c>
      <c r="E267" s="287">
        <v>124.95</v>
      </c>
      <c r="F267" s="288" t="s">
        <v>723</v>
      </c>
    </row>
    <row r="268" spans="1:6" x14ac:dyDescent="0.3">
      <c r="A268" s="286">
        <v>45392</v>
      </c>
      <c r="B268" s="279">
        <v>124.92</v>
      </c>
      <c r="C268" s="287">
        <v>124.94</v>
      </c>
      <c r="D268" s="287">
        <v>125.04</v>
      </c>
      <c r="E268" s="287">
        <v>121.83</v>
      </c>
      <c r="F268" s="288" t="s">
        <v>724</v>
      </c>
    </row>
  </sheetData>
  <mergeCells count="1">
    <mergeCell ref="A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8"/>
  <sheetViews>
    <sheetView showGridLines="0" zoomScale="62" zoomScaleNormal="85" workbookViewId="0">
      <selection activeCell="V36" sqref="V36"/>
    </sheetView>
  </sheetViews>
  <sheetFormatPr defaultRowHeight="14.4" x14ac:dyDescent="0.3"/>
  <cols>
    <col min="1" max="1" width="23" customWidth="1"/>
    <col min="2" max="2" width="8.44140625" bestFit="1" customWidth="1"/>
    <col min="3" max="3" width="8.44140625" customWidth="1"/>
    <col min="4" max="4" width="11.77734375" customWidth="1"/>
    <col min="5" max="5" width="13.77734375" customWidth="1"/>
    <col min="6" max="6" width="11.21875" bestFit="1" customWidth="1"/>
    <col min="7" max="7" width="14.109375" bestFit="1" customWidth="1"/>
    <col min="9" max="9" width="11.77734375" bestFit="1" customWidth="1"/>
    <col min="10" max="10" width="9.21875" bestFit="1" customWidth="1"/>
    <col min="11" max="11" width="10.21875" bestFit="1" customWidth="1"/>
    <col min="13" max="13" width="13.44140625" customWidth="1"/>
    <col min="14" max="14" width="14.44140625" customWidth="1"/>
    <col min="15" max="15" width="14.33203125" customWidth="1"/>
  </cols>
  <sheetData>
    <row r="1" spans="1:15" ht="23.4" customHeight="1" x14ac:dyDescent="0.45">
      <c r="A1" s="230" t="s">
        <v>725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3" spans="1:15" ht="15.6" customHeight="1" x14ac:dyDescent="0.3">
      <c r="A3" s="232"/>
      <c r="B3" s="745" t="s">
        <v>726</v>
      </c>
      <c r="C3" s="746"/>
      <c r="D3" s="746"/>
      <c r="E3" s="746"/>
      <c r="F3" s="746"/>
      <c r="G3" s="746"/>
      <c r="H3" s="232"/>
      <c r="I3" s="745" t="s">
        <v>727</v>
      </c>
      <c r="J3" s="746"/>
      <c r="K3" s="746"/>
      <c r="L3" s="232"/>
      <c r="M3" s="745" t="s">
        <v>728</v>
      </c>
      <c r="N3" s="746"/>
      <c r="O3" s="746"/>
    </row>
    <row r="4" spans="1:15" ht="46.8" customHeight="1" x14ac:dyDescent="0.3">
      <c r="A4" s="233" t="s">
        <v>729</v>
      </c>
      <c r="B4" s="234" t="s">
        <v>730</v>
      </c>
      <c r="C4" s="234" t="s">
        <v>731</v>
      </c>
      <c r="D4" s="234" t="s">
        <v>732</v>
      </c>
      <c r="E4" s="234" t="s">
        <v>733</v>
      </c>
      <c r="F4" s="234" t="s">
        <v>734</v>
      </c>
      <c r="G4" s="234" t="s">
        <v>735</v>
      </c>
      <c r="H4" s="235"/>
      <c r="I4" s="235" t="s">
        <v>151</v>
      </c>
      <c r="J4" s="235" t="s">
        <v>162</v>
      </c>
      <c r="K4" s="235" t="s">
        <v>313</v>
      </c>
      <c r="L4" s="235"/>
      <c r="M4" s="235" t="s">
        <v>736</v>
      </c>
      <c r="N4" s="235" t="s">
        <v>509</v>
      </c>
      <c r="O4" s="235" t="s">
        <v>737</v>
      </c>
    </row>
    <row r="5" spans="1:15" ht="15.6" customHeight="1" x14ac:dyDescent="0.3">
      <c r="A5" s="236"/>
      <c r="B5" s="237"/>
      <c r="C5" s="237"/>
      <c r="D5" s="237"/>
      <c r="E5" s="237"/>
      <c r="F5" s="237"/>
      <c r="G5" s="237"/>
      <c r="H5" s="238"/>
      <c r="I5" s="238"/>
      <c r="J5" s="238"/>
      <c r="K5" s="238"/>
      <c r="L5" s="238"/>
      <c r="M5" s="238"/>
      <c r="N5" s="238"/>
      <c r="O5" s="238"/>
    </row>
    <row r="6" spans="1:15" ht="15.6" customHeight="1" x14ac:dyDescent="0.3">
      <c r="A6" s="265" t="s">
        <v>484</v>
      </c>
      <c r="B6" s="266">
        <v>183.22</v>
      </c>
      <c r="C6" s="266">
        <v>3.51</v>
      </c>
      <c r="D6" s="253">
        <v>24.3</v>
      </c>
      <c r="E6" s="253">
        <f>B6*D6</f>
        <v>4452.2460000000001</v>
      </c>
      <c r="F6" s="253">
        <v>-32.94</v>
      </c>
      <c r="G6" s="255">
        <v>4406.05</v>
      </c>
      <c r="H6" s="263"/>
      <c r="I6" s="253">
        <v>165.22</v>
      </c>
      <c r="J6" s="253">
        <v>98.28</v>
      </c>
      <c r="K6" s="253">
        <v>86.6</v>
      </c>
      <c r="L6" s="239"/>
      <c r="M6" s="240">
        <f t="shared" ref="M6:M11" si="0">G6/I6</f>
        <v>26.667776298268976</v>
      </c>
      <c r="N6" s="240">
        <f t="shared" ref="N6:N11" si="1">G6/J6</f>
        <v>44.831603581603581</v>
      </c>
      <c r="O6" s="241">
        <f t="shared" ref="O6:O11" si="2">E6/K6</f>
        <v>51.411616628175523</v>
      </c>
    </row>
    <row r="7" spans="1:15" ht="15.6" customHeight="1" x14ac:dyDescent="0.3">
      <c r="A7" s="5" t="s">
        <v>738</v>
      </c>
      <c r="B7" s="267">
        <v>233.08</v>
      </c>
      <c r="C7" s="267">
        <v>1.73</v>
      </c>
      <c r="D7" s="242"/>
      <c r="E7" s="243">
        <v>378.25</v>
      </c>
      <c r="F7" s="242"/>
      <c r="G7" s="256">
        <v>376.27</v>
      </c>
      <c r="H7" s="264"/>
      <c r="I7" s="262">
        <v>29.6</v>
      </c>
      <c r="J7" s="262">
        <v>5.51</v>
      </c>
      <c r="K7" s="262">
        <v>2.83</v>
      </c>
      <c r="L7" s="243"/>
      <c r="M7" s="240">
        <f t="shared" si="0"/>
        <v>12.711824324324324</v>
      </c>
      <c r="N7" s="240">
        <f t="shared" si="1"/>
        <v>68.288566243194197</v>
      </c>
      <c r="O7" s="241">
        <f t="shared" si="2"/>
        <v>133.65724381625441</v>
      </c>
    </row>
    <row r="8" spans="1:15" ht="15.6" customHeight="1" x14ac:dyDescent="0.3">
      <c r="A8" s="1" t="s">
        <v>739</v>
      </c>
      <c r="B8" s="267">
        <v>37.01</v>
      </c>
      <c r="C8" s="267">
        <v>-4.7300000000000004</v>
      </c>
      <c r="D8" s="242"/>
      <c r="E8" s="243">
        <v>176.06</v>
      </c>
      <c r="F8" s="242"/>
      <c r="G8" s="256">
        <v>205.15</v>
      </c>
      <c r="H8" s="264"/>
      <c r="I8" s="262">
        <v>53.07</v>
      </c>
      <c r="J8" s="262">
        <v>9.1999999999999993</v>
      </c>
      <c r="K8" s="262">
        <v>-20.5</v>
      </c>
      <c r="M8" s="240">
        <f t="shared" si="0"/>
        <v>3.8656491426417938</v>
      </c>
      <c r="N8" s="240">
        <f t="shared" si="1"/>
        <v>22.298913043478262</v>
      </c>
      <c r="O8" s="241">
        <f t="shared" si="2"/>
        <v>-8.5882926829268289</v>
      </c>
    </row>
    <row r="9" spans="1:15" ht="15.6" customHeight="1" x14ac:dyDescent="0.3">
      <c r="A9" s="5" t="s">
        <v>740</v>
      </c>
      <c r="B9" s="267">
        <v>163.44999999999999</v>
      </c>
      <c r="C9" s="267">
        <v>10.36</v>
      </c>
      <c r="D9" s="242"/>
      <c r="E9" s="243">
        <v>175.44</v>
      </c>
      <c r="F9" s="242"/>
      <c r="G9" s="256">
        <v>180.22</v>
      </c>
      <c r="H9" s="264"/>
      <c r="I9" s="262">
        <v>43.26</v>
      </c>
      <c r="J9" s="262">
        <v>13.87</v>
      </c>
      <c r="K9" s="262">
        <v>11.58</v>
      </c>
      <c r="L9" s="243"/>
      <c r="M9" s="240">
        <f t="shared" si="0"/>
        <v>4.1659731853906612</v>
      </c>
      <c r="N9" s="240">
        <f t="shared" si="1"/>
        <v>12.99351117519827</v>
      </c>
      <c r="O9" s="241">
        <f t="shared" si="2"/>
        <v>15.150259067357513</v>
      </c>
    </row>
    <row r="10" spans="1:15" ht="22.8" customHeight="1" x14ac:dyDescent="0.3">
      <c r="A10" s="254" t="s">
        <v>741</v>
      </c>
      <c r="B10" s="267">
        <v>349.33</v>
      </c>
      <c r="C10" s="267">
        <v>3.92</v>
      </c>
      <c r="D10" s="242"/>
      <c r="E10" s="243">
        <v>1649.66</v>
      </c>
      <c r="F10" s="242"/>
      <c r="G10" s="256">
        <v>1703.17</v>
      </c>
      <c r="H10" s="264"/>
      <c r="I10" s="262">
        <v>59.93</v>
      </c>
      <c r="J10" s="262">
        <v>32.75</v>
      </c>
      <c r="K10" s="262">
        <v>18.93</v>
      </c>
      <c r="L10" s="243"/>
      <c r="M10" s="240">
        <f t="shared" si="0"/>
        <v>28.419322542966796</v>
      </c>
      <c r="N10" s="240">
        <f t="shared" si="1"/>
        <v>52.005190839694656</v>
      </c>
      <c r="O10" s="241">
        <f t="shared" si="2"/>
        <v>87.145272054939255</v>
      </c>
    </row>
    <row r="11" spans="1:15" ht="15.6" customHeight="1" x14ac:dyDescent="0.3">
      <c r="A11" s="254" t="s">
        <v>742</v>
      </c>
      <c r="B11" s="267">
        <v>295.08</v>
      </c>
      <c r="C11" s="267">
        <v>9.94</v>
      </c>
      <c r="D11" s="242"/>
      <c r="E11" s="243">
        <v>1225.79</v>
      </c>
      <c r="F11" s="242"/>
      <c r="G11" s="243">
        <v>1168.51</v>
      </c>
      <c r="H11" s="242"/>
      <c r="I11" s="295">
        <v>119.13</v>
      </c>
      <c r="J11" s="242">
        <v>81.75</v>
      </c>
      <c r="K11" s="242">
        <v>51.57</v>
      </c>
      <c r="L11" s="243"/>
      <c r="M11" s="240">
        <f t="shared" si="0"/>
        <v>9.8086963821035837</v>
      </c>
      <c r="N11" s="240">
        <f t="shared" si="1"/>
        <v>14.293700305810397</v>
      </c>
      <c r="O11" s="241">
        <f t="shared" si="2"/>
        <v>23.769439596664725</v>
      </c>
    </row>
    <row r="12" spans="1:15" ht="15.6" customHeight="1" x14ac:dyDescent="0.3">
      <c r="D12" s="243"/>
    </row>
    <row r="13" spans="1:15" ht="15.6" customHeight="1" x14ac:dyDescent="0.3">
      <c r="A13" s="244" t="s">
        <v>478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5">
        <f>MAX(M6:M11)</f>
        <v>28.419322542966796</v>
      </c>
      <c r="N13" s="245">
        <f>MAX(N6:N11)</f>
        <v>68.288566243194197</v>
      </c>
      <c r="O13" s="245">
        <f>MAX(O6:O11)</f>
        <v>133.65724381625441</v>
      </c>
    </row>
    <row r="14" spans="1:15" ht="15.6" customHeight="1" x14ac:dyDescent="0.3">
      <c r="A14" s="244" t="s">
        <v>743</v>
      </c>
      <c r="B14" s="246"/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5">
        <f>_xlfn.QUARTILE.EXC(M6:M11,3)</f>
        <v>27.105662859443431</v>
      </c>
      <c r="N14" s="245">
        <f>_xlfn.QUARTILE.EXC(N6:N11,3)</f>
        <v>56.076034690569543</v>
      </c>
      <c r="O14" s="245">
        <f>_xlfn.QUARTILE.EXC(O6:O11,3)</f>
        <v>98.77326499526805</v>
      </c>
    </row>
    <row r="15" spans="1:15" ht="15.6" customHeight="1" x14ac:dyDescent="0.3">
      <c r="A15" s="246" t="s">
        <v>744</v>
      </c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7">
        <f>AVERAGE(M6:M11)</f>
        <v>14.273206979282691</v>
      </c>
      <c r="N15" s="247">
        <f>AVERAGE(N6:N11)</f>
        <v>35.785247531496559</v>
      </c>
      <c r="O15" s="247">
        <f>AVERAGE(O6:O11)</f>
        <v>50.424256413410767</v>
      </c>
    </row>
    <row r="16" spans="1:15" ht="15.6" customHeight="1" x14ac:dyDescent="0.3">
      <c r="A16" s="246" t="s">
        <v>745</v>
      </c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7">
        <f>MEDIAN(M6:M11)</f>
        <v>11.260260353213955</v>
      </c>
      <c r="N16" s="247">
        <f>MEDIAN(N6:N11)</f>
        <v>33.565258312540919</v>
      </c>
      <c r="O16" s="247">
        <f>MEDIAN(O6:O11)</f>
        <v>37.590528112420124</v>
      </c>
    </row>
    <row r="17" spans="1:17" ht="15.6" customHeight="1" x14ac:dyDescent="0.3">
      <c r="A17" s="244" t="s">
        <v>746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5">
        <f>_xlfn.QUARTILE.EXC(M6:M11,1)</f>
        <v>4.0908921747034448</v>
      </c>
      <c r="N17" s="245">
        <f>_xlfn.QUARTILE.EXC(N6:N11,1)</f>
        <v>13.968653023157366</v>
      </c>
      <c r="O17" s="245">
        <f>_xlfn.QUARTILE.EXC(O6:O11,1)</f>
        <v>9.2156211297864292</v>
      </c>
    </row>
    <row r="18" spans="1:17" ht="15.6" customHeight="1" x14ac:dyDescent="0.3">
      <c r="A18" s="244" t="s">
        <v>476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5">
        <f>MIN(M6:M11)</f>
        <v>3.8656491426417938</v>
      </c>
      <c r="N18" s="245">
        <f>MIN(N6:N11)</f>
        <v>12.99351117519827</v>
      </c>
      <c r="O18" s="245">
        <f>MIN(O6:O11)</f>
        <v>-8.5882926829268289</v>
      </c>
    </row>
    <row r="20" spans="1:17" ht="15.6" customHeight="1" x14ac:dyDescent="0.3">
      <c r="A20" s="232" t="s">
        <v>747</v>
      </c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35" t="s">
        <v>736</v>
      </c>
      <c r="N20" s="235" t="s">
        <v>509</v>
      </c>
      <c r="O20" s="235" t="s">
        <v>737</v>
      </c>
    </row>
    <row r="21" spans="1:17" ht="15.6" customHeight="1" x14ac:dyDescent="0.3">
      <c r="A21" s="4" t="s">
        <v>748</v>
      </c>
      <c r="I21" s="249"/>
      <c r="M21" s="297">
        <f>I6*M16</f>
        <v>1860.4202155580097</v>
      </c>
      <c r="N21" s="227">
        <f>J6*N16</f>
        <v>3298.7935869565217</v>
      </c>
      <c r="O21" s="227">
        <f>O23+O22</f>
        <v>3222.3997345355824</v>
      </c>
    </row>
    <row r="22" spans="1:17" ht="15.6" customHeight="1" x14ac:dyDescent="0.3">
      <c r="A22" s="4" t="s">
        <v>734</v>
      </c>
      <c r="F22" s="242"/>
      <c r="I22" s="249"/>
      <c r="J22" s="14"/>
      <c r="K22" s="132"/>
      <c r="M22" s="227">
        <f>F6</f>
        <v>-32.94</v>
      </c>
      <c r="N22" s="227">
        <f>M22</f>
        <v>-32.94</v>
      </c>
      <c r="O22" s="227">
        <f>N22</f>
        <v>-32.94</v>
      </c>
    </row>
    <row r="23" spans="1:17" ht="15.6" customHeight="1" x14ac:dyDescent="0.3">
      <c r="A23" s="4" t="s">
        <v>749</v>
      </c>
      <c r="F23" s="242"/>
      <c r="I23" s="249"/>
      <c r="J23" s="132"/>
      <c r="M23" s="227">
        <f>M21-M22</f>
        <v>1893.3602155580097</v>
      </c>
      <c r="N23" s="227">
        <f>N21-N22</f>
        <v>3331.7335869565218</v>
      </c>
      <c r="O23" s="227">
        <f>K6*O16</f>
        <v>3255.3397345355825</v>
      </c>
      <c r="P23" s="108"/>
    </row>
    <row r="24" spans="1:17" ht="15.6" customHeight="1" x14ac:dyDescent="0.3">
      <c r="A24" s="4" t="s">
        <v>732</v>
      </c>
      <c r="F24" s="242"/>
      <c r="M24" s="227">
        <f>D6</f>
        <v>24.3</v>
      </c>
      <c r="N24" s="227">
        <f>M24</f>
        <v>24.3</v>
      </c>
      <c r="O24" s="227">
        <f>N24</f>
        <v>24.3</v>
      </c>
    </row>
    <row r="25" spans="1:17" ht="15.6" customHeight="1" x14ac:dyDescent="0.3">
      <c r="A25" s="250" t="s">
        <v>750</v>
      </c>
      <c r="B25" s="251"/>
      <c r="C25" s="251"/>
      <c r="D25" s="251"/>
      <c r="E25" s="250"/>
      <c r="F25" s="252"/>
      <c r="G25" s="250"/>
      <c r="H25" s="250"/>
      <c r="I25" s="250"/>
      <c r="J25" s="250"/>
      <c r="K25" s="250"/>
      <c r="L25" s="250"/>
      <c r="M25" s="296">
        <f>M23/M24</f>
        <v>77.91605825341604</v>
      </c>
      <c r="N25" s="296">
        <f>N23/N24</f>
        <v>137.10837806405439</v>
      </c>
      <c r="O25" s="296">
        <f>O23/O24</f>
        <v>133.96459812903632</v>
      </c>
      <c r="Q25" s="108"/>
    </row>
    <row r="26" spans="1:17" ht="15.6" customHeight="1" x14ac:dyDescent="0.3">
      <c r="M26" s="114" t="str">
        <f>IF(M25&gt;$B$6,"Undervalued","Overvalued")</f>
        <v>Overvalued</v>
      </c>
      <c r="N26" s="114" t="str">
        <f>IF(N25&gt;$B$6,"Undervalued","Overvalued")</f>
        <v>Overvalued</v>
      </c>
      <c r="O26" s="114" t="str">
        <f>IF(O25&gt;$B$6,"Undervalued","Overvalued")</f>
        <v>Overvalued</v>
      </c>
    </row>
    <row r="28" spans="1:17" x14ac:dyDescent="0.3">
      <c r="K28" s="33"/>
    </row>
  </sheetData>
  <mergeCells count="3">
    <mergeCell ref="B3:G3"/>
    <mergeCell ref="I3:K3"/>
    <mergeCell ref="M3:O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showGridLines="0" tabSelected="1" workbookViewId="0">
      <selection activeCell="F16" sqref="F16"/>
    </sheetView>
  </sheetViews>
  <sheetFormatPr defaultRowHeight="14.4" x14ac:dyDescent="0.3"/>
  <cols>
    <col min="1" max="1" width="28" customWidth="1"/>
    <col min="2" max="2" width="42" customWidth="1"/>
    <col min="3" max="3" width="50" customWidth="1"/>
    <col min="4" max="4" width="16" customWidth="1"/>
  </cols>
  <sheetData>
    <row r="1" spans="1:4" ht="30" customHeight="1" x14ac:dyDescent="0.3">
      <c r="A1" s="726" t="s">
        <v>751</v>
      </c>
      <c r="B1" s="700"/>
      <c r="C1" s="700"/>
      <c r="D1" s="700"/>
    </row>
    <row r="2" spans="1:4" x14ac:dyDescent="0.3">
      <c r="A2" s="748" t="s">
        <v>752</v>
      </c>
      <c r="B2" s="700"/>
      <c r="C2" s="700"/>
      <c r="D2" s="700"/>
    </row>
    <row r="4" spans="1:4" ht="22.05" customHeight="1" x14ac:dyDescent="0.3">
      <c r="A4" s="688" t="s">
        <v>753</v>
      </c>
      <c r="B4" s="688" t="s">
        <v>31</v>
      </c>
      <c r="C4" s="688" t="s">
        <v>754</v>
      </c>
      <c r="D4" s="688" t="s">
        <v>755</v>
      </c>
    </row>
    <row r="5" spans="1:4" ht="18" customHeight="1" x14ac:dyDescent="0.3">
      <c r="A5" s="693" t="s">
        <v>756</v>
      </c>
      <c r="B5" s="689" t="s">
        <v>757</v>
      </c>
      <c r="C5" s="689" t="s">
        <v>758</v>
      </c>
      <c r="D5" s="694" t="s">
        <v>759</v>
      </c>
    </row>
    <row r="6" spans="1:4" ht="18" customHeight="1" x14ac:dyDescent="0.3">
      <c r="A6" s="695" t="s">
        <v>760</v>
      </c>
      <c r="B6" s="691" t="s">
        <v>838</v>
      </c>
      <c r="C6" s="691" t="s">
        <v>761</v>
      </c>
      <c r="D6" s="696" t="s">
        <v>759</v>
      </c>
    </row>
    <row r="7" spans="1:4" ht="18" customHeight="1" x14ac:dyDescent="0.3">
      <c r="A7" s="693" t="s">
        <v>762</v>
      </c>
      <c r="B7" s="689" t="s">
        <v>81</v>
      </c>
      <c r="C7" s="689" t="s">
        <v>763</v>
      </c>
      <c r="D7" s="694" t="s">
        <v>759</v>
      </c>
    </row>
    <row r="8" spans="1:4" ht="18" customHeight="1" x14ac:dyDescent="0.3">
      <c r="A8" s="695" t="s">
        <v>764</v>
      </c>
      <c r="B8" s="691" t="s">
        <v>839</v>
      </c>
      <c r="C8" s="691" t="s">
        <v>765</v>
      </c>
      <c r="D8" s="696" t="s">
        <v>759</v>
      </c>
    </row>
    <row r="9" spans="1:4" ht="18" customHeight="1" x14ac:dyDescent="0.3">
      <c r="A9" s="693" t="s">
        <v>766</v>
      </c>
      <c r="B9" s="689" t="s">
        <v>767</v>
      </c>
      <c r="C9" s="689" t="s">
        <v>768</v>
      </c>
      <c r="D9" s="694" t="s">
        <v>759</v>
      </c>
    </row>
    <row r="10" spans="1:4" ht="18" customHeight="1" x14ac:dyDescent="0.3">
      <c r="A10" s="695" t="s">
        <v>769</v>
      </c>
      <c r="B10" s="691" t="s">
        <v>770</v>
      </c>
      <c r="C10" s="691" t="s">
        <v>771</v>
      </c>
      <c r="D10" s="696" t="s">
        <v>759</v>
      </c>
    </row>
    <row r="11" spans="1:4" ht="18" customHeight="1" x14ac:dyDescent="0.3">
      <c r="A11" s="693" t="s">
        <v>772</v>
      </c>
      <c r="B11" s="689" t="s">
        <v>773</v>
      </c>
      <c r="C11" s="689" t="s">
        <v>774</v>
      </c>
      <c r="D11" s="694" t="s">
        <v>759</v>
      </c>
    </row>
    <row r="12" spans="1:4" ht="18" customHeight="1" x14ac:dyDescent="0.3">
      <c r="A12" s="695" t="s">
        <v>775</v>
      </c>
      <c r="B12" s="691" t="s">
        <v>776</v>
      </c>
      <c r="C12" s="691" t="s">
        <v>777</v>
      </c>
      <c r="D12" s="696" t="s">
        <v>759</v>
      </c>
    </row>
    <row r="13" spans="1:4" ht="18" customHeight="1" x14ac:dyDescent="0.3">
      <c r="A13" s="693" t="s">
        <v>427</v>
      </c>
      <c r="B13" s="689" t="s">
        <v>778</v>
      </c>
      <c r="C13" s="689" t="s">
        <v>779</v>
      </c>
      <c r="D13" s="694" t="s">
        <v>759</v>
      </c>
    </row>
    <row r="14" spans="1:4" ht="18" customHeight="1" x14ac:dyDescent="0.3">
      <c r="A14" s="695" t="s">
        <v>780</v>
      </c>
      <c r="B14" s="691" t="s">
        <v>781</v>
      </c>
      <c r="C14" s="691" t="s">
        <v>782</v>
      </c>
      <c r="D14" s="696" t="s">
        <v>759</v>
      </c>
    </row>
    <row r="17" spans="1:4" ht="22.05" customHeight="1" x14ac:dyDescent="0.3">
      <c r="A17" s="747" t="s">
        <v>783</v>
      </c>
      <c r="B17" s="700"/>
      <c r="C17" s="700"/>
      <c r="D17" s="700"/>
    </row>
    <row r="18" spans="1:4" x14ac:dyDescent="0.3">
      <c r="A18" s="688" t="s">
        <v>756</v>
      </c>
      <c r="B18" s="688" t="s">
        <v>654</v>
      </c>
      <c r="C18" s="688" t="s">
        <v>784</v>
      </c>
      <c r="D18" s="688" t="s">
        <v>760</v>
      </c>
    </row>
    <row r="19" spans="1:4" ht="18" customHeight="1" x14ac:dyDescent="0.3">
      <c r="A19" s="697" t="s">
        <v>757</v>
      </c>
      <c r="B19" s="697" t="s">
        <v>759</v>
      </c>
      <c r="C19" s="697" t="s">
        <v>785</v>
      </c>
      <c r="D19" s="750" t="s">
        <v>840</v>
      </c>
    </row>
    <row r="20" spans="1:4" ht="18" customHeight="1" x14ac:dyDescent="0.3">
      <c r="A20" s="698" t="s">
        <v>757</v>
      </c>
      <c r="B20" s="698" t="s">
        <v>759</v>
      </c>
      <c r="C20" s="698" t="s">
        <v>786</v>
      </c>
      <c r="D20" s="750" t="s">
        <v>840</v>
      </c>
    </row>
    <row r="21" spans="1:4" ht="18" customHeight="1" x14ac:dyDescent="0.3">
      <c r="A21" s="697" t="s">
        <v>757</v>
      </c>
      <c r="B21" s="697" t="s">
        <v>759</v>
      </c>
      <c r="C21" s="697" t="s">
        <v>787</v>
      </c>
      <c r="D21" s="750" t="s">
        <v>840</v>
      </c>
    </row>
  </sheetData>
  <mergeCells count="3">
    <mergeCell ref="A1:D1"/>
    <mergeCell ref="A17:D17"/>
    <mergeCell ref="A2: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8"/>
  <sheetViews>
    <sheetView showGridLines="0" topLeftCell="B1" workbookViewId="0">
      <pane ySplit="3" topLeftCell="A4" activePane="bottomLeft" state="frozen"/>
      <selection pane="bottomLeft" activeCell="F14" sqref="F14"/>
    </sheetView>
  </sheetViews>
  <sheetFormatPr defaultRowHeight="14.4" x14ac:dyDescent="0.3"/>
  <cols>
    <col min="1" max="1" width="40" customWidth="1"/>
    <col min="2" max="6" width="14" customWidth="1"/>
    <col min="7" max="7" width="12" customWidth="1"/>
  </cols>
  <sheetData>
    <row r="1" spans="1:10" ht="28.05" customHeight="1" x14ac:dyDescent="0.3">
      <c r="A1" s="723" t="s">
        <v>788</v>
      </c>
      <c r="B1" s="700"/>
      <c r="C1" s="700"/>
      <c r="D1" s="700"/>
      <c r="E1" s="700"/>
      <c r="F1" s="700"/>
      <c r="G1" s="700"/>
      <c r="H1" s="700"/>
      <c r="I1" s="700"/>
      <c r="J1" s="700"/>
    </row>
    <row r="2" spans="1:10" ht="18" customHeight="1" x14ac:dyDescent="0.3">
      <c r="A2" s="749" t="s">
        <v>789</v>
      </c>
      <c r="B2" s="700"/>
      <c r="C2" s="700"/>
      <c r="D2" s="700"/>
      <c r="E2" s="700"/>
      <c r="F2" s="700"/>
      <c r="G2" s="700"/>
      <c r="H2" s="700"/>
      <c r="I2" s="700"/>
      <c r="J2" s="700"/>
    </row>
    <row r="4" spans="1:10" ht="19.95" customHeight="1" x14ac:dyDescent="0.3">
      <c r="A4" s="714" t="s">
        <v>790</v>
      </c>
      <c r="B4" s="700"/>
      <c r="C4" s="700"/>
      <c r="D4" s="700"/>
      <c r="E4" s="700"/>
      <c r="F4" s="700"/>
      <c r="G4" s="700"/>
      <c r="H4" s="700"/>
      <c r="I4" s="700"/>
      <c r="J4" s="700"/>
    </row>
    <row r="5" spans="1:10" x14ac:dyDescent="0.3">
      <c r="A5" s="664" t="s">
        <v>791</v>
      </c>
      <c r="B5" s="652" t="s">
        <v>188</v>
      </c>
      <c r="C5" s="652" t="s">
        <v>189</v>
      </c>
      <c r="D5" s="652" t="s">
        <v>190</v>
      </c>
      <c r="E5" s="652" t="s">
        <v>191</v>
      </c>
      <c r="F5" s="652" t="s">
        <v>192</v>
      </c>
      <c r="H5" s="652" t="s">
        <v>792</v>
      </c>
    </row>
    <row r="6" spans="1:10" x14ac:dyDescent="0.3">
      <c r="A6" s="639" t="s">
        <v>793</v>
      </c>
      <c r="B6" s="665">
        <f>'02_Historical_BS'!B17</f>
        <v>28791</v>
      </c>
      <c r="C6" s="665">
        <f>'02_Historical_BS'!C17</f>
        <v>44187</v>
      </c>
      <c r="D6" s="665">
        <f>'02_Historical_BS'!D17</f>
        <v>41182</v>
      </c>
      <c r="E6" s="665">
        <f>'02_Historical_BS'!E17</f>
        <v>65728</v>
      </c>
      <c r="F6" s="665">
        <f>'02_Historical_BS'!F17</f>
        <v>111601</v>
      </c>
    </row>
    <row r="7" spans="1:10" x14ac:dyDescent="0.3">
      <c r="A7" s="636" t="s">
        <v>794</v>
      </c>
      <c r="B7" s="666">
        <f>'02_Historical_BS'!B31+'02_Historical_BS'!B37</f>
        <v>28791</v>
      </c>
      <c r="C7" s="666">
        <f>'02_Historical_BS'!C31+'02_Historical_BS'!C37</f>
        <v>44187</v>
      </c>
      <c r="D7" s="666">
        <f>'02_Historical_BS'!D31+'02_Historical_BS'!D37</f>
        <v>41182</v>
      </c>
      <c r="E7" s="666">
        <f>'02_Historical_BS'!E31+'02_Historical_BS'!E37</f>
        <v>65728</v>
      </c>
      <c r="F7" s="666">
        <f>'02_Historical_BS'!F31+'02_Historical_BS'!F37</f>
        <v>111601</v>
      </c>
    </row>
    <row r="8" spans="1:10" x14ac:dyDescent="0.3">
      <c r="A8" s="643" t="s">
        <v>795</v>
      </c>
      <c r="B8" s="667">
        <f>B6-B7</f>
        <v>0</v>
      </c>
      <c r="C8" s="667">
        <f>C6-C7</f>
        <v>0</v>
      </c>
      <c r="D8" s="667">
        <f>D6-D7</f>
        <v>0</v>
      </c>
      <c r="E8" s="667">
        <f>E6-E7</f>
        <v>0</v>
      </c>
      <c r="F8" s="667">
        <f>F6-F7</f>
        <v>0</v>
      </c>
      <c r="H8" s="644" t="s">
        <v>796</v>
      </c>
    </row>
    <row r="10" spans="1:10" ht="19.95" customHeight="1" x14ac:dyDescent="0.3">
      <c r="A10" s="714" t="s">
        <v>797</v>
      </c>
      <c r="B10" s="700"/>
      <c r="C10" s="700"/>
      <c r="D10" s="700"/>
      <c r="E10" s="700"/>
      <c r="F10" s="700"/>
      <c r="G10" s="700"/>
      <c r="H10" s="700"/>
      <c r="I10" s="700"/>
      <c r="J10" s="700"/>
    </row>
    <row r="11" spans="1:10" x14ac:dyDescent="0.3">
      <c r="A11" s="664" t="s">
        <v>791</v>
      </c>
      <c r="B11" s="652" t="s">
        <v>190</v>
      </c>
      <c r="C11" s="652" t="s">
        <v>191</v>
      </c>
      <c r="D11" s="652" t="s">
        <v>192</v>
      </c>
      <c r="F11" s="652" t="s">
        <v>792</v>
      </c>
    </row>
    <row r="12" spans="1:10" x14ac:dyDescent="0.3">
      <c r="A12" s="639" t="s">
        <v>798</v>
      </c>
      <c r="B12" s="665">
        <f>'03_Historical_CF'!B19</f>
        <v>5641</v>
      </c>
      <c r="C12" s="665">
        <f>'03_Historical_CF'!C19</f>
        <v>28090</v>
      </c>
      <c r="D12" s="665">
        <f>'03_Historical_CF'!D19</f>
        <v>64089</v>
      </c>
    </row>
    <row r="13" spans="1:10" x14ac:dyDescent="0.3">
      <c r="A13" s="636" t="s">
        <v>799</v>
      </c>
      <c r="B13" s="666">
        <f>'03_Historical_CF'!B29</f>
        <v>7375</v>
      </c>
      <c r="C13" s="666">
        <f>'03_Historical_CF'!C29</f>
        <v>-10566</v>
      </c>
      <c r="D13" s="666">
        <f>'03_Historical_CF'!D29</f>
        <v>-20421</v>
      </c>
    </row>
    <row r="14" spans="1:10" x14ac:dyDescent="0.3">
      <c r="A14" s="639" t="s">
        <v>800</v>
      </c>
      <c r="B14" s="665">
        <f>'03_Historical_CF'!B38</f>
        <v>-11617</v>
      </c>
      <c r="C14" s="665">
        <f>'03_Historical_CF'!C38</f>
        <v>-13633</v>
      </c>
      <c r="D14" s="665">
        <f>'03_Historical_CF'!D38</f>
        <v>-42359</v>
      </c>
    </row>
    <row r="15" spans="1:10" x14ac:dyDescent="0.3">
      <c r="A15" s="668" t="s">
        <v>801</v>
      </c>
      <c r="B15" s="666">
        <f>B12+B13+B14</f>
        <v>1399</v>
      </c>
      <c r="C15" s="666">
        <f>C12+C13+C14</f>
        <v>3891</v>
      </c>
      <c r="D15" s="666">
        <f>D12+D13+D14</f>
        <v>1309</v>
      </c>
    </row>
    <row r="16" spans="1:10" x14ac:dyDescent="0.3">
      <c r="A16" s="639" t="s">
        <v>802</v>
      </c>
      <c r="B16" s="665">
        <f>'03_Historical_CF'!B39</f>
        <v>1399</v>
      </c>
      <c r="C16" s="665">
        <f>'03_Historical_CF'!C39</f>
        <v>3891</v>
      </c>
      <c r="D16" s="665">
        <f>'03_Historical_CF'!D39</f>
        <v>1309</v>
      </c>
    </row>
    <row r="17" spans="1:10" x14ac:dyDescent="0.3">
      <c r="A17" s="643" t="s">
        <v>795</v>
      </c>
      <c r="B17" s="667">
        <f>B15-B16</f>
        <v>0</v>
      </c>
      <c r="C17" s="667">
        <f>C15-C16</f>
        <v>0</v>
      </c>
      <c r="D17" s="667">
        <f>D15-D16</f>
        <v>0</v>
      </c>
      <c r="F17" s="644" t="s">
        <v>796</v>
      </c>
    </row>
    <row r="19" spans="1:10" ht="19.95" customHeight="1" x14ac:dyDescent="0.3">
      <c r="A19" s="714" t="s">
        <v>803</v>
      </c>
      <c r="B19" s="700"/>
      <c r="C19" s="700"/>
      <c r="D19" s="700"/>
      <c r="E19" s="700"/>
      <c r="F19" s="700"/>
      <c r="G19" s="700"/>
      <c r="H19" s="700"/>
      <c r="I19" s="700"/>
      <c r="J19" s="700"/>
    </row>
    <row r="20" spans="1:10" x14ac:dyDescent="0.3">
      <c r="A20" s="664" t="s">
        <v>791</v>
      </c>
      <c r="B20" s="652" t="s">
        <v>524</v>
      </c>
      <c r="C20" s="652" t="s">
        <v>804</v>
      </c>
      <c r="D20" s="652" t="s">
        <v>805</v>
      </c>
      <c r="E20" s="652" t="s">
        <v>792</v>
      </c>
    </row>
    <row r="21" spans="1:10" x14ac:dyDescent="0.3">
      <c r="A21" s="639" t="s">
        <v>806</v>
      </c>
      <c r="B21" s="665">
        <f>'01_Historical_IS'!E3</f>
        <v>26974</v>
      </c>
      <c r="C21" s="665">
        <f>'01_Historical_IS'!F3</f>
        <v>60922</v>
      </c>
      <c r="D21" s="665">
        <f>'01_Historical_IS'!G3</f>
        <v>130497</v>
      </c>
    </row>
    <row r="22" spans="1:10" x14ac:dyDescent="0.3">
      <c r="A22" s="636" t="s">
        <v>807</v>
      </c>
      <c r="B22" s="666">
        <f>'05a_FCFF'!C4</f>
        <v>26974</v>
      </c>
      <c r="C22" s="666">
        <f>'05a_FCFF'!D4</f>
        <v>60922</v>
      </c>
      <c r="D22" s="666">
        <f>'05a_FCFF'!E4</f>
        <v>130497</v>
      </c>
    </row>
    <row r="23" spans="1:10" x14ac:dyDescent="0.3">
      <c r="A23" s="643" t="s">
        <v>795</v>
      </c>
      <c r="B23" s="667">
        <f>B21-B22</f>
        <v>0</v>
      </c>
      <c r="C23" s="667">
        <f>C21-C22</f>
        <v>0</v>
      </c>
      <c r="D23" s="667">
        <f>D21-D22</f>
        <v>0</v>
      </c>
      <c r="E23" s="644" t="s">
        <v>796</v>
      </c>
    </row>
    <row r="25" spans="1:10" ht="19.95" customHeight="1" x14ac:dyDescent="0.3">
      <c r="A25" s="714" t="s">
        <v>808</v>
      </c>
      <c r="B25" s="700"/>
      <c r="C25" s="700"/>
      <c r="D25" s="700"/>
      <c r="E25" s="700"/>
      <c r="F25" s="700"/>
      <c r="G25" s="700"/>
      <c r="H25" s="700"/>
      <c r="I25" s="700"/>
      <c r="J25" s="700"/>
    </row>
    <row r="26" spans="1:10" ht="19.95" customHeight="1" x14ac:dyDescent="0.3">
      <c r="A26" s="639" t="s">
        <v>427</v>
      </c>
      <c r="B26" s="669">
        <f>'05b_DCF'!C14</f>
        <v>0.12914245100092209</v>
      </c>
    </row>
    <row r="27" spans="1:10" ht="19.95" customHeight="1" x14ac:dyDescent="0.3">
      <c r="A27" s="636" t="s">
        <v>809</v>
      </c>
      <c r="B27" s="670">
        <f>'05b_DCF'!C13</f>
        <v>0.04</v>
      </c>
    </row>
    <row r="28" spans="1:10" ht="19.95" customHeight="1" x14ac:dyDescent="0.3">
      <c r="A28" s="639" t="s">
        <v>810</v>
      </c>
      <c r="B28" s="671">
        <f>'05b_DCF'!C11</f>
        <v>664084.81498496176</v>
      </c>
    </row>
    <row r="29" spans="1:10" ht="19.95" customHeight="1" x14ac:dyDescent="0.3">
      <c r="A29" s="636" t="s">
        <v>811</v>
      </c>
      <c r="B29" s="672">
        <f>'05b_DCF'!C15</f>
        <v>3593999.4086396955</v>
      </c>
    </row>
    <row r="30" spans="1:10" ht="19.95" customHeight="1" x14ac:dyDescent="0.3">
      <c r="A30" s="639" t="s">
        <v>812</v>
      </c>
      <c r="B30" s="671">
        <f>'05b_DCF'!C16</f>
        <v>1958097.5523661016</v>
      </c>
    </row>
    <row r="31" spans="1:10" ht="19.95" customHeight="1" x14ac:dyDescent="0.3">
      <c r="A31" s="636" t="s">
        <v>813</v>
      </c>
      <c r="B31" s="672">
        <f>'05b_DCF'!C17</f>
        <v>2622182.3673510635</v>
      </c>
    </row>
    <row r="32" spans="1:10" ht="19.95" customHeight="1" x14ac:dyDescent="0.3">
      <c r="A32" s="639" t="s">
        <v>814</v>
      </c>
      <c r="B32" s="671">
        <f>'05b_DCF'!C18</f>
        <v>-32940</v>
      </c>
    </row>
    <row r="33" spans="1:6" ht="19.95" customHeight="1" x14ac:dyDescent="0.3">
      <c r="A33" s="636" t="s">
        <v>815</v>
      </c>
      <c r="B33" s="672">
        <f>'05b_DCF'!C19</f>
        <v>2655122.3673510635</v>
      </c>
    </row>
    <row r="34" spans="1:6" ht="19.95" customHeight="1" x14ac:dyDescent="0.3">
      <c r="A34" s="639" t="s">
        <v>816</v>
      </c>
      <c r="B34" s="671">
        <f>'05b_DCF'!C20</f>
        <v>24300</v>
      </c>
    </row>
    <row r="35" spans="1:6" ht="19.95" customHeight="1" x14ac:dyDescent="0.3">
      <c r="A35" s="643" t="s">
        <v>817</v>
      </c>
      <c r="B35" s="673">
        <f>'05b_DCF'!C21</f>
        <v>109.26429495271866</v>
      </c>
    </row>
    <row r="36" spans="1:6" ht="19.95" customHeight="1" x14ac:dyDescent="0.3">
      <c r="A36" s="643" t="s">
        <v>818</v>
      </c>
      <c r="B36" s="673">
        <f>'05b_DCF'!C51</f>
        <v>222.44867065008594</v>
      </c>
    </row>
    <row r="37" spans="1:6" ht="19.95" customHeight="1" x14ac:dyDescent="0.3">
      <c r="A37" s="674" t="s">
        <v>819</v>
      </c>
      <c r="B37" s="675">
        <v>183.22</v>
      </c>
    </row>
    <row r="38" spans="1:6" ht="19.95" customHeight="1" x14ac:dyDescent="0.3">
      <c r="A38" s="674" t="s">
        <v>820</v>
      </c>
      <c r="B38" s="676">
        <f>'05b_DCF'!C21/183.22-1</f>
        <v>-0.40364428035848343</v>
      </c>
    </row>
    <row r="42" spans="1:6" x14ac:dyDescent="0.3">
      <c r="A42" s="677" t="s">
        <v>821</v>
      </c>
    </row>
    <row r="43" spans="1:6" x14ac:dyDescent="0.3">
      <c r="A43" s="678" t="s">
        <v>822</v>
      </c>
    </row>
    <row r="45" spans="1:6" x14ac:dyDescent="0.3">
      <c r="A45" s="679" t="s">
        <v>823</v>
      </c>
    </row>
    <row r="46" spans="1:6" x14ac:dyDescent="0.3">
      <c r="A46" s="677" t="s">
        <v>791</v>
      </c>
      <c r="B46" s="680" t="s">
        <v>524</v>
      </c>
      <c r="C46" s="680" t="s">
        <v>804</v>
      </c>
      <c r="D46" s="680" t="s">
        <v>805</v>
      </c>
      <c r="E46" s="680" t="s">
        <v>824</v>
      </c>
      <c r="F46" s="680" t="s">
        <v>825</v>
      </c>
    </row>
    <row r="47" spans="1:6" x14ac:dyDescent="0.3">
      <c r="A47" t="s">
        <v>826</v>
      </c>
      <c r="B47" s="184">
        <v>2650</v>
      </c>
      <c r="C47" s="184">
        <v>23329</v>
      </c>
      <c r="D47" s="184">
        <v>55932</v>
      </c>
    </row>
    <row r="48" spans="1:6" x14ac:dyDescent="0.3">
      <c r="A48" t="s">
        <v>827</v>
      </c>
      <c r="B48" s="184">
        <v>2650</v>
      </c>
      <c r="C48" s="184">
        <v>23329</v>
      </c>
      <c r="D48" s="184">
        <v>55932</v>
      </c>
    </row>
    <row r="49" spans="1:6" x14ac:dyDescent="0.3">
      <c r="A49" t="s">
        <v>828</v>
      </c>
      <c r="B49" s="184">
        <v>0</v>
      </c>
      <c r="C49" s="184">
        <v>0</v>
      </c>
      <c r="D49" s="184">
        <v>0</v>
      </c>
      <c r="E49" s="184">
        <f>0</f>
        <v>0</v>
      </c>
      <c r="F49" s="681" t="s">
        <v>829</v>
      </c>
    </row>
    <row r="51" spans="1:6" x14ac:dyDescent="0.3">
      <c r="A51" s="679" t="s">
        <v>830</v>
      </c>
    </row>
    <row r="52" spans="1:6" x14ac:dyDescent="0.3">
      <c r="A52" s="677" t="s">
        <v>791</v>
      </c>
      <c r="B52" s="680" t="s">
        <v>524</v>
      </c>
      <c r="C52" s="680" t="s">
        <v>804</v>
      </c>
      <c r="D52" s="680" t="s">
        <v>805</v>
      </c>
      <c r="E52" s="680" t="s">
        <v>754</v>
      </c>
    </row>
    <row r="53" spans="1:6" x14ac:dyDescent="0.3">
      <c r="A53" t="s">
        <v>831</v>
      </c>
      <c r="B53" s="184">
        <v>2650</v>
      </c>
      <c r="C53" s="184">
        <v>23329</v>
      </c>
      <c r="D53" s="184">
        <v>55932</v>
      </c>
    </row>
    <row r="54" spans="1:6" x14ac:dyDescent="0.3">
      <c r="A54" t="s">
        <v>832</v>
      </c>
      <c r="B54" s="184">
        <v>3808</v>
      </c>
      <c r="C54" s="184">
        <v>27021</v>
      </c>
      <c r="D54" s="184">
        <v>60853</v>
      </c>
    </row>
    <row r="55" spans="1:6" x14ac:dyDescent="0.3">
      <c r="A55" t="s">
        <v>833</v>
      </c>
      <c r="B55" s="184">
        <v>-1158</v>
      </c>
      <c r="C55" s="184">
        <v>-3692</v>
      </c>
      <c r="D55" s="184">
        <v>-4921</v>
      </c>
      <c r="E55" s="678" t="s">
        <v>834</v>
      </c>
    </row>
    <row r="56" spans="1:6" x14ac:dyDescent="0.3">
      <c r="A56" s="682" t="s">
        <v>835</v>
      </c>
      <c r="B56" s="683">
        <v>-1936</v>
      </c>
      <c r="C56" s="683">
        <v>-544</v>
      </c>
      <c r="D56" s="683">
        <v>1272</v>
      </c>
      <c r="E56" s="678" t="s">
        <v>836</v>
      </c>
    </row>
    <row r="58" spans="1:6" x14ac:dyDescent="0.3">
      <c r="A58" s="684" t="s">
        <v>837</v>
      </c>
    </row>
  </sheetData>
  <mergeCells count="6">
    <mergeCell ref="A1:J1"/>
    <mergeCell ref="A4:J4"/>
    <mergeCell ref="A2:J2"/>
    <mergeCell ref="A10:J10"/>
    <mergeCell ref="A25:J25"/>
    <mergeCell ref="A19:J19"/>
  </mergeCells>
  <conditionalFormatting sqref="B17:D17">
    <cfRule type="expression" dxfId="5" priority="3">
      <formula>ABS(B17)&gt;0.01</formula>
    </cfRule>
    <cfRule type="expression" dxfId="4" priority="4">
      <formula>ABS(B17)&lt;=0.01</formula>
    </cfRule>
  </conditionalFormatting>
  <conditionalFormatting sqref="B23:D23">
    <cfRule type="expression" dxfId="3" priority="5">
      <formula>ABS(B23)&gt;0.01</formula>
    </cfRule>
    <cfRule type="expression" dxfId="2" priority="6">
      <formula>ABS(B23)&lt;=0.01</formula>
    </cfRule>
  </conditionalFormatting>
  <conditionalFormatting sqref="B8:F8">
    <cfRule type="expression" dxfId="1" priority="1">
      <formula>ABS(B8)&gt;0.01</formula>
    </cfRule>
    <cfRule type="expression" dxfId="0" priority="2">
      <formula>ABS(B8)&lt;=0.01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8</vt:i4>
      </vt:variant>
    </vt:vector>
  </HeadingPairs>
  <TitlesOfParts>
    <vt:vector size="32" baseType="lpstr">
      <vt:lpstr>00_Assumptions</vt:lpstr>
      <vt:lpstr>01_Historical_IS</vt:lpstr>
      <vt:lpstr>02_Historical_BS</vt:lpstr>
      <vt:lpstr>03_Historical_CF</vt:lpstr>
      <vt:lpstr>04a_Projection_IS</vt:lpstr>
      <vt:lpstr>04b_Projection_BS</vt:lpstr>
      <vt:lpstr>04c_Projection_CF</vt:lpstr>
      <vt:lpstr>05a_FCFF</vt:lpstr>
      <vt:lpstr>05b_DCF</vt:lpstr>
      <vt:lpstr>06_Sensitivity</vt:lpstr>
      <vt:lpstr>07_Adjustments</vt:lpstr>
      <vt:lpstr>07_CommonSize</vt:lpstr>
      <vt:lpstr>08_RatioAnalysis</vt:lpstr>
      <vt:lpstr>09_WorkingCapital</vt:lpstr>
      <vt:lpstr>10_GrowthRates</vt:lpstr>
      <vt:lpstr>11_DA</vt:lpstr>
      <vt:lpstr>12_FixedAssets</vt:lpstr>
      <vt:lpstr>13_DebtSchedule</vt:lpstr>
      <vt:lpstr>14_Beta</vt:lpstr>
      <vt:lpstr>15_WACC</vt:lpstr>
      <vt:lpstr>16_MarketData</vt:lpstr>
      <vt:lpstr>17_ComparableAnalysis</vt:lpstr>
      <vt:lpstr>98_Notes</vt:lpstr>
      <vt:lpstr>99_Validation</vt:lpstr>
      <vt:lpstr>adjusted_beta</vt:lpstr>
      <vt:lpstr>Capex_pct</vt:lpstr>
      <vt:lpstr>effective_tax_rate</vt:lpstr>
      <vt:lpstr>equity_risk_premium</vt:lpstr>
      <vt:lpstr>risk_free_rate</vt:lpstr>
      <vt:lpstr>Tax_Rate</vt:lpstr>
      <vt:lpstr>Terminal_Growth</vt:lpstr>
      <vt:lpstr>wacc_output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hassenmohamedamine</dc:creator>
  <cp:lastModifiedBy>Aditya Gupta</cp:lastModifiedBy>
  <cp:lastPrinted>2025-10-22T22:08:41Z</cp:lastPrinted>
  <dcterms:created xsi:type="dcterms:W3CDTF">2025-07-26T17:48:11Z</dcterms:created>
  <dcterms:modified xsi:type="dcterms:W3CDTF">2026-03-15T20:47:46Z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0x0101000ABCA88FF3FA064C8441C65E180B50D9</vt:lpwstr>
  </property>
</Properties>
</file>